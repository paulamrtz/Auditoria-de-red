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63eb8fddf759582/Documentos/Portfolio/"/>
    </mc:Choice>
  </mc:AlternateContent>
  <xr:revisionPtr revIDLastSave="202" documentId="8_{49A95BD6-E5FB-4F6F-9E23-79BB0553E541}" xr6:coauthVersionLast="47" xr6:coauthVersionMax="47" xr10:uidLastSave="{782A13A4-C983-42A5-9B49-D3C4255FD8EE}"/>
  <bookViews>
    <workbookView xWindow="-108" yWindow="-108" windowWidth="23256" windowHeight="12456" xr2:uid="{149566E8-29B6-4919-9F16-2FF313DB822F}"/>
  </bookViews>
  <sheets>
    <sheet name="Inventario" sheetId="1" r:id="rId1"/>
    <sheet name="Vulnerabilidades" sheetId="2" r:id="rId2"/>
    <sheet name="Resumen" sheetId="3" r:id="rId3"/>
    <sheet name="Dashboard" sheetId="4" r:id="rId4"/>
  </sheets>
  <definedNames>
    <definedName name="_xlchart.v1.0" hidden="1">Resumen!$A$8:$A$10</definedName>
    <definedName name="_xlchart.v1.1" hidden="1">Resumen!$B$8:$B$10</definedName>
    <definedName name="_xlchart.v1.2" hidden="1">Resumen!$A$8:$A$10</definedName>
    <definedName name="_xlchart.v1.3" hidden="1">Resumen!$B$8:$B$10</definedName>
    <definedName name="_xlchart.v1.4" hidden="1">Resumen!$A$10:$A$12</definedName>
    <definedName name="_xlchart.v1.5" hidden="1">Resumen!$B$10:$B$12</definedName>
    <definedName name="_xlchart.v1.6" hidden="1">Resumen!$A$10:$A$12</definedName>
    <definedName name="_xlchart.v1.7" hidden="1">Resumen!$B$10:$B$12</definedName>
    <definedName name="_xlchart.v1.8" hidden="1">Resumen!$A$10:$A$12</definedName>
    <definedName name="_xlchart.v1.9" hidden="1">Resumen!$B$10:$B$12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10" i="3"/>
  <c r="B9" i="3"/>
  <c r="B8" i="3"/>
  <c r="B7" i="3"/>
  <c r="B6" i="3"/>
  <c r="B5" i="3"/>
  <c r="B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68056A-925A-443F-84F7-B633DD49A922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<sst xmlns="http://schemas.openxmlformats.org/spreadsheetml/2006/main" count="1078" uniqueCount="515">
  <si>
    <t>D001</t>
  </si>
  <si>
    <t>SW-CORE-01</t>
  </si>
  <si>
    <t>Switch Core</t>
  </si>
  <si>
    <t>192.168.1.1</t>
  </si>
  <si>
    <t>Cisco IOS 15.2</t>
  </si>
  <si>
    <t>Sala de Servidores</t>
  </si>
  <si>
    <t>Activo</t>
  </si>
  <si>
    <t>D002</t>
  </si>
  <si>
    <t>SW-ACCESO-01</t>
  </si>
  <si>
    <t>Switch Acceso</t>
  </si>
  <si>
    <t>192.168.1.2</t>
  </si>
  <si>
    <t>Cisco IOS 12.4</t>
  </si>
  <si>
    <t>Piso 1</t>
  </si>
  <si>
    <t>D003</t>
  </si>
  <si>
    <t>SW-ACCESO-02</t>
  </si>
  <si>
    <t>192.168.1.3</t>
  </si>
  <si>
    <t>Piso 2</t>
  </si>
  <si>
    <t>D004</t>
  </si>
  <si>
    <t>SW-ACCESO-03</t>
  </si>
  <si>
    <t>192.168.1.4</t>
  </si>
  <si>
    <t>Piso 3</t>
  </si>
  <si>
    <t>D005</t>
  </si>
  <si>
    <t>SW-ACCESO-04</t>
  </si>
  <si>
    <t>192.168.1.5</t>
  </si>
  <si>
    <t>Piso 4</t>
  </si>
  <si>
    <t>D006</t>
  </si>
  <si>
    <t>RTR-PRINCIPAL</t>
  </si>
  <si>
    <t>Router</t>
  </si>
  <si>
    <t>192.168.1.254</t>
  </si>
  <si>
    <t>Cisco IOS 16.3</t>
  </si>
  <si>
    <t>D007</t>
  </si>
  <si>
    <t>RTR-BACKUP</t>
  </si>
  <si>
    <t>192.168.1.253</t>
  </si>
  <si>
    <t>Cisco IOS 15.1</t>
  </si>
  <si>
    <t>D008</t>
  </si>
  <si>
    <t>FW-PERIMETRAL</t>
  </si>
  <si>
    <t>Firewall</t>
  </si>
  <si>
    <t>192.168.1.252</t>
  </si>
  <si>
    <t>FortiOS 6.4</t>
  </si>
  <si>
    <t>D009</t>
  </si>
  <si>
    <t>FW-INTERNO</t>
  </si>
  <si>
    <t>192.168.1.251</t>
  </si>
  <si>
    <t>FortiOS 6.2</t>
  </si>
  <si>
    <t>D010</t>
  </si>
  <si>
    <t>SRV-AD-01</t>
  </si>
  <si>
    <t>Servidor</t>
  </si>
  <si>
    <t>192.168.1.10</t>
  </si>
  <si>
    <t>Windows Server 2016</t>
  </si>
  <si>
    <t>D011</t>
  </si>
  <si>
    <t>SRV-AD-02</t>
  </si>
  <si>
    <t>192.168.1.11</t>
  </si>
  <si>
    <t>Windows Server 2019</t>
  </si>
  <si>
    <t>D012</t>
  </si>
  <si>
    <t>SRV-WEB-01</t>
  </si>
  <si>
    <t>192.168.1.12</t>
  </si>
  <si>
    <t>Ubuntu 20.04</t>
  </si>
  <si>
    <t>D013</t>
  </si>
  <si>
    <t>SRV-WEB-02</t>
  </si>
  <si>
    <t>192.168.1.13</t>
  </si>
  <si>
    <t>Ubuntu 22.04</t>
  </si>
  <si>
    <t>D014</t>
  </si>
  <si>
    <t>SRV-BD-01</t>
  </si>
  <si>
    <t>192.168.1.14</t>
  </si>
  <si>
    <t>D015</t>
  </si>
  <si>
    <t>SRV-BD-02</t>
  </si>
  <si>
    <t>192.168.1.15</t>
  </si>
  <si>
    <t>D016</t>
  </si>
  <si>
    <t>SRV-CORREO</t>
  </si>
  <si>
    <t>192.168.1.16</t>
  </si>
  <si>
    <t>D017</t>
  </si>
  <si>
    <t>SRV-BACKUP</t>
  </si>
  <si>
    <t>192.168.1.17</t>
  </si>
  <si>
    <t>Windows Server 2012</t>
  </si>
  <si>
    <t>Inactivo</t>
  </si>
  <si>
    <t>D018</t>
  </si>
  <si>
    <t>SRV-DNS</t>
  </si>
  <si>
    <t>192.168.1.18</t>
  </si>
  <si>
    <t>Ubuntu 18.04</t>
  </si>
  <si>
    <t>D019</t>
  </si>
  <si>
    <t>SRV-PROXY</t>
  </si>
  <si>
    <t>192.168.1.19</t>
  </si>
  <si>
    <t>D020</t>
  </si>
  <si>
    <t>SRV-VPN</t>
  </si>
  <si>
    <t>192.168.1.20</t>
  </si>
  <si>
    <t>D021</t>
  </si>
  <si>
    <t>NAS-BACKUP-01</t>
  </si>
  <si>
    <t>Almacenamiento</t>
  </si>
  <si>
    <t>192.168.1.21</t>
  </si>
  <si>
    <t>FreeNAS 11.3</t>
  </si>
  <si>
    <t>D022</t>
  </si>
  <si>
    <t>NAS-BACKUP-02</t>
  </si>
  <si>
    <t>192.168.1.22</t>
  </si>
  <si>
    <t>FreeNAS 12.0</t>
  </si>
  <si>
    <t>D023</t>
  </si>
  <si>
    <t>AP-PISO1-01</t>
  </si>
  <si>
    <t>Access Point</t>
  </si>
  <si>
    <t>192.168.2.1</t>
  </si>
  <si>
    <t>Firmware 3.1</t>
  </si>
  <si>
    <t>D024</t>
  </si>
  <si>
    <t>AP-PISO1-02</t>
  </si>
  <si>
    <t>192.168.2.2</t>
  </si>
  <si>
    <t>D025</t>
  </si>
  <si>
    <t>AP-PISO2-01</t>
  </si>
  <si>
    <t>192.168.2.3</t>
  </si>
  <si>
    <t>Firmware 2.8</t>
  </si>
  <si>
    <t>D026</t>
  </si>
  <si>
    <t>AP-PISO2-02</t>
  </si>
  <si>
    <t>192.168.2.4</t>
  </si>
  <si>
    <t>D027</t>
  </si>
  <si>
    <t>AP-PISO3-01</t>
  </si>
  <si>
    <t>192.168.2.5</t>
  </si>
  <si>
    <t>Firmware 3.0</t>
  </si>
  <si>
    <t>D028</t>
  </si>
  <si>
    <t>AP-PISO4-01</t>
  </si>
  <si>
    <t>192.168.2.6</t>
  </si>
  <si>
    <t>Firmware 2.5</t>
  </si>
  <si>
    <t>D029</t>
  </si>
  <si>
    <t>AP-LOBBY</t>
  </si>
  <si>
    <t>192.168.2.7</t>
  </si>
  <si>
    <t>Firmware 3.2</t>
  </si>
  <si>
    <t>Lobby</t>
  </si>
  <si>
    <t>D030</t>
  </si>
  <si>
    <t>AP-SALA-CONF</t>
  </si>
  <si>
    <t>192.168.2.8</t>
  </si>
  <si>
    <t>Sala Conferencias</t>
  </si>
  <si>
    <t>D031</t>
  </si>
  <si>
    <t>PC-RECEPCION-01</t>
  </si>
  <si>
    <t>Workstation</t>
  </si>
  <si>
    <t>192.168.3.1</t>
  </si>
  <si>
    <t>Windows 10</t>
  </si>
  <si>
    <t>Recepción</t>
  </si>
  <si>
    <t>D032</t>
  </si>
  <si>
    <t>PC-RECEPCION-02</t>
  </si>
  <si>
    <t>192.168.3.2</t>
  </si>
  <si>
    <t>D033</t>
  </si>
  <si>
    <t>PC-ADMIN-01</t>
  </si>
  <si>
    <t>192.168.3.3</t>
  </si>
  <si>
    <t>Windows 11</t>
  </si>
  <si>
    <t>Administración</t>
  </si>
  <si>
    <t>D034</t>
  </si>
  <si>
    <t>PC-ADMIN-02</t>
  </si>
  <si>
    <t>192.168.3.4</t>
  </si>
  <si>
    <t>D035</t>
  </si>
  <si>
    <t>PC-ADMIN-03</t>
  </si>
  <si>
    <t>192.168.3.5</t>
  </si>
  <si>
    <t>D036</t>
  </si>
  <si>
    <t>PC-CONTAB-01</t>
  </si>
  <si>
    <t>192.168.3.6</t>
  </si>
  <si>
    <t>Contabilidad</t>
  </si>
  <si>
    <t>D037</t>
  </si>
  <si>
    <t>PC-CONTAB-02</t>
  </si>
  <si>
    <t>192.168.3.7</t>
  </si>
  <si>
    <t>D038</t>
  </si>
  <si>
    <t>PC-CONTAB-03</t>
  </si>
  <si>
    <t>192.168.3.8</t>
  </si>
  <si>
    <t>D039</t>
  </si>
  <si>
    <t>PC-RRHH-01</t>
  </si>
  <si>
    <t>192.168.3.9</t>
  </si>
  <si>
    <t>Recursos Humanos</t>
  </si>
  <si>
    <t>D040</t>
  </si>
  <si>
    <t>PC-RRHH-02</t>
  </si>
  <si>
    <t>192.168.3.10</t>
  </si>
  <si>
    <t>D041</t>
  </si>
  <si>
    <t>PC-IT-01</t>
  </si>
  <si>
    <t>192.168.3.11</t>
  </si>
  <si>
    <t>Departamento TI</t>
  </si>
  <si>
    <t>D042</t>
  </si>
  <si>
    <t>PC-IT-02</t>
  </si>
  <si>
    <t>192.168.3.12</t>
  </si>
  <si>
    <t>D043</t>
  </si>
  <si>
    <t>PC-IT-03</t>
  </si>
  <si>
    <t>192.168.3.13</t>
  </si>
  <si>
    <t>D044</t>
  </si>
  <si>
    <t>PC-LEGAL-01</t>
  </si>
  <si>
    <t>192.168.3.14</t>
  </si>
  <si>
    <t>Legal</t>
  </si>
  <si>
    <t>D045</t>
  </si>
  <si>
    <t>PC-LEGAL-02</t>
  </si>
  <si>
    <t>192.168.3.15</t>
  </si>
  <si>
    <t>D046</t>
  </si>
  <si>
    <t>PC-GERENCIA-01</t>
  </si>
  <si>
    <t>192.168.3.16</t>
  </si>
  <si>
    <t>Gerencia</t>
  </si>
  <si>
    <t>D047</t>
  </si>
  <si>
    <t>PC-GERENCIA-02</t>
  </si>
  <si>
    <t>192.168.3.17</t>
  </si>
  <si>
    <t>D048</t>
  </si>
  <si>
    <t>PC-LOGISTICA-01</t>
  </si>
  <si>
    <t>192.168.3.18</t>
  </si>
  <si>
    <t>Logística</t>
  </si>
  <si>
    <t>D049</t>
  </si>
  <si>
    <t>PC-LOGISTICA-02</t>
  </si>
  <si>
    <t>192.168.3.19</t>
  </si>
  <si>
    <t>D050</t>
  </si>
  <si>
    <t>PC-LOGISTICA-03</t>
  </si>
  <si>
    <t>192.168.3.20</t>
  </si>
  <si>
    <t>Windows 7</t>
  </si>
  <si>
    <t>D051</t>
  </si>
  <si>
    <t>LAPTOP-GERENTE-01</t>
  </si>
  <si>
    <t>Laptop</t>
  </si>
  <si>
    <t>192.168.3.21</t>
  </si>
  <si>
    <t>D052</t>
  </si>
  <si>
    <t>LAPTOP-GERENTE-02</t>
  </si>
  <si>
    <t>192.168.3.22</t>
  </si>
  <si>
    <t>D053</t>
  </si>
  <si>
    <t>LAPTOP-IT-01</t>
  </si>
  <si>
    <t>192.168.3.23</t>
  </si>
  <si>
    <t>D054</t>
  </si>
  <si>
    <t>LAPTOP-VENTAS-01</t>
  </si>
  <si>
    <t>192.168.3.24</t>
  </si>
  <si>
    <t>Ventas</t>
  </si>
  <si>
    <t>D055</t>
  </si>
  <si>
    <t>LAPTOP-VENTAS-02</t>
  </si>
  <si>
    <t>192.168.3.25</t>
  </si>
  <si>
    <t>D056</t>
  </si>
  <si>
    <t>PRINTER-ADMIN</t>
  </si>
  <si>
    <t>Impresora</t>
  </si>
  <si>
    <t>192.168.3.50</t>
  </si>
  <si>
    <t>Embedded</t>
  </si>
  <si>
    <t>D057</t>
  </si>
  <si>
    <t>PRINTER-CONTAB</t>
  </si>
  <si>
    <t>192.168.3.51</t>
  </si>
  <si>
    <t>D058</t>
  </si>
  <si>
    <t>PRINTER-RRHH</t>
  </si>
  <si>
    <t>192.168.3.52</t>
  </si>
  <si>
    <t>D059</t>
  </si>
  <si>
    <t>PRINTER-LEGAL</t>
  </si>
  <si>
    <t>192.168.3.53</t>
  </si>
  <si>
    <t>D060</t>
  </si>
  <si>
    <t>PRINTER-GERENCIA</t>
  </si>
  <si>
    <t>192.168.3.54</t>
  </si>
  <si>
    <t>D061</t>
  </si>
  <si>
    <t>CAM-LOBBY-01</t>
  </si>
  <si>
    <t>Cámara IP</t>
  </si>
  <si>
    <t>192.168.4.1</t>
  </si>
  <si>
    <t>Firmware 1.2</t>
  </si>
  <si>
    <t>D062</t>
  </si>
  <si>
    <t>CAM-LOBBY-02</t>
  </si>
  <si>
    <t>192.168.4.2</t>
  </si>
  <si>
    <t>D063</t>
  </si>
  <si>
    <t>CAM-PISO1-01</t>
  </si>
  <si>
    <t>192.168.4.3</t>
  </si>
  <si>
    <t>Firmware 1.5</t>
  </si>
  <si>
    <t>D064</t>
  </si>
  <si>
    <t>CAM-PISO1-02</t>
  </si>
  <si>
    <t>192.168.4.4</t>
  </si>
  <si>
    <t>D065</t>
  </si>
  <si>
    <t>CAM-PISO2-01</t>
  </si>
  <si>
    <t>192.168.4.5</t>
  </si>
  <si>
    <t>Firmware 1.3</t>
  </si>
  <si>
    <t>D066</t>
  </si>
  <si>
    <t>CAM-PISO2-02</t>
  </si>
  <si>
    <t>192.168.4.6</t>
  </si>
  <si>
    <t>D067</t>
  </si>
  <si>
    <t>CAM-PISO3-01</t>
  </si>
  <si>
    <t>192.168.4.7</t>
  </si>
  <si>
    <t>Firmware 1.1</t>
  </si>
  <si>
    <t>D068</t>
  </si>
  <si>
    <t>CAM-SALA-SERV</t>
  </si>
  <si>
    <t>192.168.4.8</t>
  </si>
  <si>
    <t>D069</t>
  </si>
  <si>
    <t>CAM-ESTAC-01</t>
  </si>
  <si>
    <t>192.168.4.9</t>
  </si>
  <si>
    <t>Firmware 1.0</t>
  </si>
  <si>
    <t>Estacionamiento</t>
  </si>
  <si>
    <t>D070</t>
  </si>
  <si>
    <t>CAM-ESTAC-02</t>
  </si>
  <si>
    <t>192.168.4.10</t>
  </si>
  <si>
    <t>D071</t>
  </si>
  <si>
    <t>VOIP-RECEP</t>
  </si>
  <si>
    <t>Teléfono IP</t>
  </si>
  <si>
    <t>192.168.5.1</t>
  </si>
  <si>
    <t>Firmware 2.1</t>
  </si>
  <si>
    <t>D072</t>
  </si>
  <si>
    <t>VOIP-ADMIN-01</t>
  </si>
  <si>
    <t>192.168.5.2</t>
  </si>
  <si>
    <t>D073</t>
  </si>
  <si>
    <t>VOIP-ADMIN-02</t>
  </si>
  <si>
    <t>192.168.5.3</t>
  </si>
  <si>
    <t>Firmware 2.0</t>
  </si>
  <si>
    <t>D074</t>
  </si>
  <si>
    <t>VOIP-GERENCIA</t>
  </si>
  <si>
    <t>192.168.5.4</t>
  </si>
  <si>
    <t>Firmware 2.3</t>
  </si>
  <si>
    <t>D075</t>
  </si>
  <si>
    <t>VOIP-RRHH</t>
  </si>
  <si>
    <t>192.168.5.5</t>
  </si>
  <si>
    <t>D076</t>
  </si>
  <si>
    <t>VOIP-LEGAL</t>
  </si>
  <si>
    <t>192.168.5.6</t>
  </si>
  <si>
    <t>D077</t>
  </si>
  <si>
    <t>VOIP-IT</t>
  </si>
  <si>
    <t>192.168.5.7</t>
  </si>
  <si>
    <t>D078</t>
  </si>
  <si>
    <t>TABLET-RECEP-01</t>
  </si>
  <si>
    <t>Tablet</t>
  </si>
  <si>
    <t>192.168.3.30</t>
  </si>
  <si>
    <t>Android 10</t>
  </si>
  <si>
    <t>D079</t>
  </si>
  <si>
    <t>TABLET-GERENCIA</t>
  </si>
  <si>
    <t>192.168.3.31</t>
  </si>
  <si>
    <t>iOS 15</t>
  </si>
  <si>
    <t>D080</t>
  </si>
  <si>
    <t>TABLET-IT</t>
  </si>
  <si>
    <t>192.168.3.32</t>
  </si>
  <si>
    <t>Android 12</t>
  </si>
  <si>
    <t>D081</t>
  </si>
  <si>
    <t>UPS-SALA-SERV-01</t>
  </si>
  <si>
    <t>UPS</t>
  </si>
  <si>
    <t>192.168.6.1</t>
  </si>
  <si>
    <t>D082</t>
  </si>
  <si>
    <t>UPS-SALA-SERV-02</t>
  </si>
  <si>
    <t>192.168.6.2</t>
  </si>
  <si>
    <t>D083</t>
  </si>
  <si>
    <t>SWITCH-SERV-01</t>
  </si>
  <si>
    <t>Switch Servidores</t>
  </si>
  <si>
    <t>192.168.1.6</t>
  </si>
  <si>
    <t>Cisco IOS 15.4</t>
  </si>
  <si>
    <t>D084</t>
  </si>
  <si>
    <t>SWITCH-SERV-02</t>
  </si>
  <si>
    <t>192.168.1.7</t>
  </si>
  <si>
    <t>D085</t>
  </si>
  <si>
    <t>PC-SEGURIDAD-01</t>
  </si>
  <si>
    <t>192.168.3.33</t>
  </si>
  <si>
    <t>Seguridad</t>
  </si>
  <si>
    <t>D086</t>
  </si>
  <si>
    <t>PC-SEGURIDAD-02</t>
  </si>
  <si>
    <t>192.168.3.34</t>
  </si>
  <si>
    <t>D087</t>
  </si>
  <si>
    <t>PC-COMPRAS-01</t>
  </si>
  <si>
    <t>192.168.3.35</t>
  </si>
  <si>
    <t>Compras</t>
  </si>
  <si>
    <t>D088</t>
  </si>
  <si>
    <t>PC-COMPRAS-02</t>
  </si>
  <si>
    <t>192.168.3.36</t>
  </si>
  <si>
    <t>D089</t>
  </si>
  <si>
    <t>PC-MARKETING-01</t>
  </si>
  <si>
    <t>192.168.3.37</t>
  </si>
  <si>
    <t>Marketing</t>
  </si>
  <si>
    <t>D090</t>
  </si>
  <si>
    <t>PC-MARKETING-02</t>
  </si>
  <si>
    <t>192.168.3.38</t>
  </si>
  <si>
    <t>D091</t>
  </si>
  <si>
    <t>LAPTOP-MARKETING</t>
  </si>
  <si>
    <t>192.168.3.39</t>
  </si>
  <si>
    <t>D092</t>
  </si>
  <si>
    <t>SRV-MONITOREO</t>
  </si>
  <si>
    <t>192.168.1.23</t>
  </si>
  <si>
    <t>D093</t>
  </si>
  <si>
    <t>SRV-ANTIVIRUS</t>
  </si>
  <si>
    <t>192.168.1.24</t>
  </si>
  <si>
    <t>D094</t>
  </si>
  <si>
    <t>PC-AUDITORIA-01</t>
  </si>
  <si>
    <t>192.168.3.40</t>
  </si>
  <si>
    <t>Auditoría</t>
  </si>
  <si>
    <t>D095</t>
  </si>
  <si>
    <t>PC-AUDITORIA-02</t>
  </si>
  <si>
    <t>192.168.3.41</t>
  </si>
  <si>
    <t>D096</t>
  </si>
  <si>
    <t>AP-CAFETERIA</t>
  </si>
  <si>
    <t>192.168.2.9</t>
  </si>
  <si>
    <t>Firmware 2.9</t>
  </si>
  <si>
    <t>Cafetería</t>
  </si>
  <si>
    <t>D097</t>
  </si>
  <si>
    <t>CAM-CAFETERIA</t>
  </si>
  <si>
    <t>192.168.4.11</t>
  </si>
  <si>
    <t>D098</t>
  </si>
  <si>
    <t>PRINTER-IT</t>
  </si>
  <si>
    <t>192.168.3.55</t>
  </si>
  <si>
    <t>D099</t>
  </si>
  <si>
    <t>PC-DIRECC-01</t>
  </si>
  <si>
    <t>192.168.3.42</t>
  </si>
  <si>
    <t>Dirección</t>
  </si>
  <si>
    <t>D100</t>
  </si>
  <si>
    <t>PC-DIRECC-02</t>
  </si>
  <si>
    <t>192.168.3.43</t>
  </si>
  <si>
    <t>ID</t>
  </si>
  <si>
    <t>Nombre</t>
  </si>
  <si>
    <t>Tipo</t>
  </si>
  <si>
    <t>IP</t>
  </si>
  <si>
    <t>SO</t>
  </si>
  <si>
    <t>Ubicación</t>
  </si>
  <si>
    <t>Estado</t>
  </si>
  <si>
    <t>ID_Dispositivo</t>
  </si>
  <si>
    <t>Vulnerabilidad</t>
  </si>
  <si>
    <t>Descripcion</t>
  </si>
  <si>
    <t>Nivel_Riesgo</t>
  </si>
  <si>
    <t>Fecha_Deteccion</t>
  </si>
  <si>
    <t>Responsable</t>
  </si>
  <si>
    <t>V001</t>
  </si>
  <si>
    <t>Firmware desactualizado</t>
  </si>
  <si>
    <t>Switch con versión IOS 12.4 sin parches de seguridad</t>
  </si>
  <si>
    <t>Alto</t>
  </si>
  <si>
    <t>Pendiente</t>
  </si>
  <si>
    <t>V002</t>
  </si>
  <si>
    <t>V003</t>
  </si>
  <si>
    <t>V004</t>
  </si>
  <si>
    <t>En Proceso</t>
  </si>
  <si>
    <t>V005</t>
  </si>
  <si>
    <t>Firewall con versión antigua</t>
  </si>
  <si>
    <t>FortiOS 6.2 presenta vulnerabilidades conocidas CVE-2023</t>
  </si>
  <si>
    <t>Ing. Martinez</t>
  </si>
  <si>
    <t>V006</t>
  </si>
  <si>
    <t>Servidor sin actualizaciones</t>
  </si>
  <si>
    <t>Windows Server 2016 sin parches desde hace 6 meses</t>
  </si>
  <si>
    <t>V007</t>
  </si>
  <si>
    <t>Sistema operativo obsoleto</t>
  </si>
  <si>
    <t>Windows Server 2012 fuera de soporte oficial de Microsoft</t>
  </si>
  <si>
    <t>Crítico</t>
  </si>
  <si>
    <t>V008</t>
  </si>
  <si>
    <t>Ubuntu sin actualizar</t>
  </si>
  <si>
    <t>Ubuntu 18.04 llegó a fin de vida en abril 2023</t>
  </si>
  <si>
    <t>V009</t>
  </si>
  <si>
    <t>Windows 7 obsoleto</t>
  </si>
  <si>
    <t>Windows 7 sin soporte desde enero 2020, riesgo crítico</t>
  </si>
  <si>
    <t>V010</t>
  </si>
  <si>
    <t>Access Point con Firmware 2.8 vulnerable a ataques KRACK</t>
  </si>
  <si>
    <t>Medio</t>
  </si>
  <si>
    <t>V011</t>
  </si>
  <si>
    <t>V012</t>
  </si>
  <si>
    <t>Access Point inactivo</t>
  </si>
  <si>
    <t>Dispositivo sin monitoreo activo representa riesgo de seguridad</t>
  </si>
  <si>
    <t>Bajo</t>
  </si>
  <si>
    <t>V013</t>
  </si>
  <si>
    <t>Contraseña por defecto</t>
  </si>
  <si>
    <t>Cámara IP con credenciales de fábrica sin cambiar</t>
  </si>
  <si>
    <t>V014</t>
  </si>
  <si>
    <t>V015</t>
  </si>
  <si>
    <t>Firmware obsoleto</t>
  </si>
  <si>
    <t>Cámara IP con Firmware 1.0 sin cifrado de transmisión</t>
  </si>
  <si>
    <t>V016</t>
  </si>
  <si>
    <t>V017</t>
  </si>
  <si>
    <t>Cámara inactiva</t>
  </si>
  <si>
    <t>Punto ciego en monitoreo del Piso 3</t>
  </si>
  <si>
    <t>V018</t>
  </si>
  <si>
    <t>Antivirus desactualizado</t>
  </si>
  <si>
    <t>Workstation sin actualización de antivirus hace 3 meses</t>
  </si>
  <si>
    <t>Resuelto</t>
  </si>
  <si>
    <t>V019</t>
  </si>
  <si>
    <t>V020</t>
  </si>
  <si>
    <t>Contraseña débil</t>
  </si>
  <si>
    <t>Usuario sin política de contraseña segura aplicada</t>
  </si>
  <si>
    <t>V021</t>
  </si>
  <si>
    <t>Workstation sin actualización de antivirus hace 2 meses</t>
  </si>
  <si>
    <t>V022</t>
  </si>
  <si>
    <t>Sin cifrado de disco</t>
  </si>
  <si>
    <t>Equipo de Contabilidad sin BitLocker activado</t>
  </si>
  <si>
    <t>V023</t>
  </si>
  <si>
    <t>Equipo Legal sin BitLocker activado, riesgo de fuga de datos</t>
  </si>
  <si>
    <t>V024</t>
  </si>
  <si>
    <t>V025</t>
  </si>
  <si>
    <t>Workstation Logística sin actualización de antivirus</t>
  </si>
  <si>
    <t>V026</t>
  </si>
  <si>
    <t>V027</t>
  </si>
  <si>
    <t>Puerto de gestión expuesto</t>
  </si>
  <si>
    <t>Impresora con interfaz web accesible sin autenticación</t>
  </si>
  <si>
    <t>V028</t>
  </si>
  <si>
    <t>V029</t>
  </si>
  <si>
    <t>V030</t>
  </si>
  <si>
    <t>V031</t>
  </si>
  <si>
    <t>Teléfono IP con Firmware 2.1 vulnerable a intercepción</t>
  </si>
  <si>
    <t>V032</t>
  </si>
  <si>
    <t>V033</t>
  </si>
  <si>
    <t>Teléfono IP con Firmware 2.0 vulnerable a intercepción</t>
  </si>
  <si>
    <t>V034</t>
  </si>
  <si>
    <t>V035</t>
  </si>
  <si>
    <t>Sistema Android desactualizado</t>
  </si>
  <si>
    <t>Tablet con Android 10 sin parches de seguridad recientes</t>
  </si>
  <si>
    <t>V036</t>
  </si>
  <si>
    <t>Puerto SSH expuesto</t>
  </si>
  <si>
    <t>Servidor Web con puerto 22 accesible desde red interna</t>
  </si>
  <si>
    <t>V037</t>
  </si>
  <si>
    <t>Certificado SSL vencido</t>
  </si>
  <si>
    <t>Servidor Web con certificado SSL expirado hace 30 días</t>
  </si>
  <si>
    <t>V038</t>
  </si>
  <si>
    <t>Backup sin cifrar</t>
  </si>
  <si>
    <t>Base de datos sin cifrado en respaldos automáticos</t>
  </si>
  <si>
    <t>V039</t>
  </si>
  <si>
    <t>V040</t>
  </si>
  <si>
    <t>Relay abierto</t>
  </si>
  <si>
    <t>Servidor de correo con relay abierto permite spam</t>
  </si>
  <si>
    <t>V041</t>
  </si>
  <si>
    <t>Logs sin monitoreo</t>
  </si>
  <si>
    <t>Servidor Proxy sin sistema de monitoreo de logs activo</t>
  </si>
  <si>
    <t>V042</t>
  </si>
  <si>
    <t>Acceso sin autenticación</t>
  </si>
  <si>
    <t>NAS accesible sin usuario/contraseña desde red interna</t>
  </si>
  <si>
    <t>V043</t>
  </si>
  <si>
    <t>Permisos excesivos</t>
  </si>
  <si>
    <t>NAS con permisos de escritura para todos los usuarios</t>
  </si>
  <si>
    <t>V044</t>
  </si>
  <si>
    <t>Sin política de bloqueo</t>
  </si>
  <si>
    <t>PC Seguridad sin bloqueo automático por inactividad</t>
  </si>
  <si>
    <t>V045</t>
  </si>
  <si>
    <t>V046</t>
  </si>
  <si>
    <t>PC Compras sin actualización de antivirus hace 1 mes</t>
  </si>
  <si>
    <t>V047</t>
  </si>
  <si>
    <t>V048</t>
  </si>
  <si>
    <t>PC Marketing sin BitLocker activado</t>
  </si>
  <si>
    <t>V049</t>
  </si>
  <si>
    <t>V050</t>
  </si>
  <si>
    <t>Acceso RDP expuesto</t>
  </si>
  <si>
    <t>Servidor AD con RDP accesible sin autenticación MFA</t>
  </si>
  <si>
    <t>Fecha: Enero 2025</t>
  </si>
  <si>
    <t>Total Vulnerabilidades</t>
  </si>
  <si>
    <t>Críticas</t>
  </si>
  <si>
    <t>Altas</t>
  </si>
  <si>
    <t>Medias</t>
  </si>
  <si>
    <t>Bajas</t>
  </si>
  <si>
    <t>Resueltas</t>
  </si>
  <si>
    <t>Pendientes</t>
  </si>
  <si>
    <t xml:space="preserve">DASHBOARD —  Auditoría de seguridad de red </t>
  </si>
  <si>
    <t>Resumen</t>
  </si>
  <si>
    <t>Cantidad</t>
  </si>
  <si>
    <t>RESUMEN — AUDITORÍA DE SEGURIDAD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</si>
</sst>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rial Unicode MS"/>
    </font>
    <font>
      <b/>
      <sz val="16"/>
      <color theme="1"/>
      <name val="Aptos Narrow"/>
      <family val="2"/>
      <scheme val="minor"/>
    </font>
    <font>
      <b/>
      <sz val="16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 applyAlignment="1"/>
    <xf numFmtId="0" fontId="4" fillId="0" borderId="0" xfId="0" applyFont="1" applyAlignment="1"/>
    <xf numFmtId="0" fontId="0" fillId="0" borderId="1" xfId="0" applyBorder="1"/>
    <xf numFmtId="0" fontId="1" fillId="2" borderId="1" xfId="0" applyFont="1" applyFill="1" applyBorder="1"/>
    <xf numFmtId="14" fontId="0" fillId="0" borderId="1" xfId="0" applyNumberFormat="1" applyBorder="1"/>
    <xf numFmtId="0" fontId="0" fillId="3" borderId="1" xfId="0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00"/>
      <color rgb="FFA970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Vulnerabilidades por nivel de riesgo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dk1">
                    <a:tint val="88500"/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tint val="88500"/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tint val="885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B2-41AD-9F55-888F12C19CBD}"/>
              </c:ext>
            </c:extLst>
          </c:dPt>
          <c:dPt>
            <c:idx val="1"/>
            <c:invertIfNegative val="0"/>
            <c:bubble3D val="0"/>
            <c:spPr>
              <a:solidFill>
                <a:srgbClr val="A970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CB2-41AD-9F55-888F12C19CBD}"/>
              </c:ext>
            </c:extLst>
          </c:dPt>
          <c:dPt>
            <c:idx val="2"/>
            <c:invertIfNegative val="0"/>
            <c:bubble3D val="0"/>
            <c:spPr>
              <a:solidFill>
                <a:srgbClr val="FF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CB2-41AD-9F55-888F12C19CB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CB2-41AD-9F55-888F12C19CBD}"/>
              </c:ext>
            </c:extLst>
          </c:dPt>
          <c:cat>
            <c:strRef>
              <c:f>Resumen!$A$4:$A$7</c:f>
              <c:strCache>
                <c:ptCount val="4"/>
                <c:pt idx="0">
                  <c:v>Críticas</c:v>
                </c:pt>
                <c:pt idx="1">
                  <c:v>Altas</c:v>
                </c:pt>
                <c:pt idx="2">
                  <c:v>Medias</c:v>
                </c:pt>
                <c:pt idx="3">
                  <c:v>Bajas</c:v>
                </c:pt>
              </c:strCache>
            </c:strRef>
          </c:cat>
          <c:val>
            <c:numRef>
              <c:f>Resumen!$B$4:$B$7</c:f>
              <c:numCache>
                <c:formatCode>General</c:formatCode>
                <c:ptCount val="4"/>
                <c:pt idx="0">
                  <c:v>8</c:v>
                </c:pt>
                <c:pt idx="1">
                  <c:v>18</c:v>
                </c:pt>
                <c:pt idx="2">
                  <c:v>19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B2-41AD-9F55-888F12C19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897775"/>
        <c:axId val="23892015"/>
      </c:barChart>
      <c:catAx>
        <c:axId val="2389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2015"/>
        <c:crosses val="autoZero"/>
        <c:auto val="1"/>
        <c:lblAlgn val="ctr"/>
        <c:lblOffset val="100"/>
        <c:noMultiLvlLbl val="0"/>
      </c:catAx>
      <c:valAx>
        <c:axId val="2389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7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Estado de vulnerabilidades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Estado de vulnerabilidades</a:t>
          </a:r>
        </a:p>
      </cx:txPr>
    </cx:title>
    <cx:plotArea>
      <cx:plotAreaRegion>
        <cx:series layoutId="sunburst" uniqueId="{F06861ED-5456-44D6-B93C-CF9D7FD06896}">
          <cx:dataPt idx="0">
            <cx:spPr>
              <a:solidFill>
                <a:srgbClr val="4EA72E">
                  <a:lumMod val="75000"/>
                </a:srgbClr>
              </a:solidFill>
            </cx:spPr>
          </cx:dataPt>
          <cx:dataPt idx="1">
            <cx:spPr>
              <a:solidFill>
                <a:srgbClr val="E97132">
                  <a:lumMod val="50000"/>
                </a:srgbClr>
              </a:solidFill>
            </cx:spPr>
          </cx:dataPt>
          <cx:dataPt idx="2">
            <cx:spPr>
              <a:solidFill>
                <a:srgbClr val="FFCC00"/>
              </a:solidFill>
            </cx:spPr>
          </cx:dataPt>
          <cx:dataLabels pos="ctr">
            <cx:visibility seriesName="0" categoryName="1" value="0"/>
          </cx:dataLabels>
          <cx:dataId val="0"/>
        </cx:series>
      </cx:plotAreaRegion>
    </cx:plotArea>
    <cx:legend pos="r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1</xdr:row>
      <xdr:rowOff>175260</xdr:rowOff>
    </xdr:from>
    <xdr:to>
      <xdr:col>9</xdr:col>
      <xdr:colOff>0</xdr:colOff>
      <xdr:row>21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25332A-FE18-4C2E-A5BD-A94A103123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68580</xdr:colOff>
      <xdr:row>2</xdr:row>
      <xdr:rowOff>0</xdr:rowOff>
    </xdr:from>
    <xdr:to>
      <xdr:col>17</xdr:col>
      <xdr:colOff>53340</xdr:colOff>
      <xdr:row>21</xdr:row>
      <xdr:rowOff>160020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986E332-749A-4B76-A55D-527C16BFB4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5040" y="487680"/>
              <a:ext cx="4861560" cy="36347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D3ACA-CF56-4FEA-8C6D-5F28BC325471}">
  <dimension ref="A1:G101"/>
  <sheetViews>
    <sheetView tabSelected="1" workbookViewId="0">
      <selection activeCell="B17" sqref="B17"/>
    </sheetView>
  </sheetViews>
  <sheetFormatPr defaultRowHeight="14.4"/>
  <cols>
    <col min="1" max="7" width="20.77734375" customWidth="1"/>
  </cols>
  <sheetData>
    <row r="1" spans="1:7">
      <c r="A1" s="5" t="s">
        <v>376</v>
      </c>
      <c r="B1" s="5" t="s">
        <v>377</v>
      </c>
      <c r="C1" s="5" t="s">
        <v>378</v>
      </c>
      <c r="D1" s="5" t="s">
        <v>379</v>
      </c>
      <c r="E1" s="5" t="s">
        <v>380</v>
      </c>
      <c r="F1" s="5" t="s">
        <v>381</v>
      </c>
      <c r="G1" s="5" t="s">
        <v>382</v>
      </c>
    </row>
    <row r="2" spans="1:7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</row>
    <row r="3" spans="1:7">
      <c r="A3" s="4" t="s">
        <v>7</v>
      </c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6</v>
      </c>
    </row>
    <row r="4" spans="1:7">
      <c r="A4" s="4" t="s">
        <v>13</v>
      </c>
      <c r="B4" s="4" t="s">
        <v>14</v>
      </c>
      <c r="C4" s="4" t="s">
        <v>9</v>
      </c>
      <c r="D4" s="4" t="s">
        <v>15</v>
      </c>
      <c r="E4" s="4" t="s">
        <v>11</v>
      </c>
      <c r="F4" s="4" t="s">
        <v>16</v>
      </c>
      <c r="G4" s="4" t="s">
        <v>6</v>
      </c>
    </row>
    <row r="5" spans="1:7">
      <c r="A5" s="4" t="s">
        <v>17</v>
      </c>
      <c r="B5" s="4" t="s">
        <v>18</v>
      </c>
      <c r="C5" s="4" t="s">
        <v>9</v>
      </c>
      <c r="D5" s="4" t="s">
        <v>19</v>
      </c>
      <c r="E5" s="4" t="s">
        <v>11</v>
      </c>
      <c r="F5" s="4" t="s">
        <v>20</v>
      </c>
      <c r="G5" s="4" t="s">
        <v>6</v>
      </c>
    </row>
    <row r="6" spans="1:7">
      <c r="A6" s="4" t="s">
        <v>21</v>
      </c>
      <c r="B6" s="4" t="s">
        <v>22</v>
      </c>
      <c r="C6" s="4" t="s">
        <v>9</v>
      </c>
      <c r="D6" s="4" t="s">
        <v>23</v>
      </c>
      <c r="E6" s="4" t="s">
        <v>11</v>
      </c>
      <c r="F6" s="4" t="s">
        <v>24</v>
      </c>
      <c r="G6" s="4" t="s">
        <v>6</v>
      </c>
    </row>
    <row r="7" spans="1:7">
      <c r="A7" s="4" t="s">
        <v>25</v>
      </c>
      <c r="B7" s="4" t="s">
        <v>26</v>
      </c>
      <c r="C7" s="4" t="s">
        <v>27</v>
      </c>
      <c r="D7" s="4" t="s">
        <v>28</v>
      </c>
      <c r="E7" s="4" t="s">
        <v>29</v>
      </c>
      <c r="F7" s="4" t="s">
        <v>5</v>
      </c>
      <c r="G7" s="4" t="s">
        <v>6</v>
      </c>
    </row>
    <row r="8" spans="1:7">
      <c r="A8" s="4" t="s">
        <v>30</v>
      </c>
      <c r="B8" s="4" t="s">
        <v>31</v>
      </c>
      <c r="C8" s="4" t="s">
        <v>27</v>
      </c>
      <c r="D8" s="4" t="s">
        <v>32</v>
      </c>
      <c r="E8" s="4" t="s">
        <v>33</v>
      </c>
      <c r="F8" s="4" t="s">
        <v>5</v>
      </c>
      <c r="G8" s="4" t="s">
        <v>6</v>
      </c>
    </row>
    <row r="9" spans="1:7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5</v>
      </c>
      <c r="G9" s="4" t="s">
        <v>6</v>
      </c>
    </row>
    <row r="10" spans="1:7">
      <c r="A10" s="4" t="s">
        <v>39</v>
      </c>
      <c r="B10" s="4" t="s">
        <v>40</v>
      </c>
      <c r="C10" s="4" t="s">
        <v>36</v>
      </c>
      <c r="D10" s="4" t="s">
        <v>41</v>
      </c>
      <c r="E10" s="4" t="s">
        <v>42</v>
      </c>
      <c r="F10" s="4" t="s">
        <v>5</v>
      </c>
      <c r="G10" s="4" t="s">
        <v>6</v>
      </c>
    </row>
    <row r="11" spans="1:7">
      <c r="A11" s="4" t="s">
        <v>43</v>
      </c>
      <c r="B11" s="4" t="s">
        <v>44</v>
      </c>
      <c r="C11" s="4" t="s">
        <v>45</v>
      </c>
      <c r="D11" s="4" t="s">
        <v>46</v>
      </c>
      <c r="E11" s="4" t="s">
        <v>47</v>
      </c>
      <c r="F11" s="4" t="s">
        <v>5</v>
      </c>
      <c r="G11" s="4" t="s">
        <v>6</v>
      </c>
    </row>
    <row r="12" spans="1:7">
      <c r="A12" s="4" t="s">
        <v>48</v>
      </c>
      <c r="B12" s="4" t="s">
        <v>49</v>
      </c>
      <c r="C12" s="4" t="s">
        <v>45</v>
      </c>
      <c r="D12" s="4" t="s">
        <v>50</v>
      </c>
      <c r="E12" s="4" t="s">
        <v>51</v>
      </c>
      <c r="F12" s="4" t="s">
        <v>5</v>
      </c>
      <c r="G12" s="4" t="s">
        <v>6</v>
      </c>
    </row>
    <row r="13" spans="1:7">
      <c r="A13" s="4" t="s">
        <v>52</v>
      </c>
      <c r="B13" s="4" t="s">
        <v>53</v>
      </c>
      <c r="C13" s="4" t="s">
        <v>45</v>
      </c>
      <c r="D13" s="4" t="s">
        <v>54</v>
      </c>
      <c r="E13" s="4" t="s">
        <v>55</v>
      </c>
      <c r="F13" s="4" t="s">
        <v>5</v>
      </c>
      <c r="G13" s="4" t="s">
        <v>6</v>
      </c>
    </row>
    <row r="14" spans="1:7">
      <c r="A14" s="4" t="s">
        <v>56</v>
      </c>
      <c r="B14" s="4" t="s">
        <v>57</v>
      </c>
      <c r="C14" s="4" t="s">
        <v>45</v>
      </c>
      <c r="D14" s="4" t="s">
        <v>58</v>
      </c>
      <c r="E14" s="4" t="s">
        <v>59</v>
      </c>
      <c r="F14" s="4" t="s">
        <v>5</v>
      </c>
      <c r="G14" s="4" t="s">
        <v>6</v>
      </c>
    </row>
    <row r="15" spans="1:7">
      <c r="A15" s="4" t="s">
        <v>60</v>
      </c>
      <c r="B15" s="4" t="s">
        <v>61</v>
      </c>
      <c r="C15" s="4" t="s">
        <v>45</v>
      </c>
      <c r="D15" s="4" t="s">
        <v>62</v>
      </c>
      <c r="E15" s="4" t="s">
        <v>51</v>
      </c>
      <c r="F15" s="4" t="s">
        <v>5</v>
      </c>
      <c r="G15" s="4" t="s">
        <v>6</v>
      </c>
    </row>
    <row r="16" spans="1:7">
      <c r="A16" s="4" t="s">
        <v>63</v>
      </c>
      <c r="B16" s="4" t="s">
        <v>64</v>
      </c>
      <c r="C16" s="4" t="s">
        <v>45</v>
      </c>
      <c r="D16" s="4" t="s">
        <v>65</v>
      </c>
      <c r="E16" s="4" t="s">
        <v>47</v>
      </c>
      <c r="F16" s="4" t="s">
        <v>5</v>
      </c>
      <c r="G16" s="4" t="s">
        <v>6</v>
      </c>
    </row>
    <row r="17" spans="1:7">
      <c r="A17" s="4" t="s">
        <v>66</v>
      </c>
      <c r="B17" s="4" t="s">
        <v>67</v>
      </c>
      <c r="C17" s="4" t="s">
        <v>45</v>
      </c>
      <c r="D17" s="4" t="s">
        <v>68</v>
      </c>
      <c r="E17" s="4" t="s">
        <v>55</v>
      </c>
      <c r="F17" s="4" t="s">
        <v>5</v>
      </c>
      <c r="G17" s="4" t="s">
        <v>6</v>
      </c>
    </row>
    <row r="18" spans="1:7">
      <c r="A18" s="4" t="s">
        <v>69</v>
      </c>
      <c r="B18" s="4" t="s">
        <v>70</v>
      </c>
      <c r="C18" s="4" t="s">
        <v>45</v>
      </c>
      <c r="D18" s="4" t="s">
        <v>71</v>
      </c>
      <c r="E18" s="4" t="s">
        <v>72</v>
      </c>
      <c r="F18" s="4" t="s">
        <v>5</v>
      </c>
      <c r="G18" s="4" t="s">
        <v>73</v>
      </c>
    </row>
    <row r="19" spans="1:7">
      <c r="A19" s="4" t="s">
        <v>74</v>
      </c>
      <c r="B19" s="4" t="s">
        <v>75</v>
      </c>
      <c r="C19" s="4" t="s">
        <v>45</v>
      </c>
      <c r="D19" s="4" t="s">
        <v>76</v>
      </c>
      <c r="E19" s="4" t="s">
        <v>77</v>
      </c>
      <c r="F19" s="4" t="s">
        <v>5</v>
      </c>
      <c r="G19" s="4" t="s">
        <v>6</v>
      </c>
    </row>
    <row r="20" spans="1:7">
      <c r="A20" s="4" t="s">
        <v>78</v>
      </c>
      <c r="B20" s="4" t="s">
        <v>79</v>
      </c>
      <c r="C20" s="4" t="s">
        <v>45</v>
      </c>
      <c r="D20" s="4" t="s">
        <v>80</v>
      </c>
      <c r="E20" s="4" t="s">
        <v>55</v>
      </c>
      <c r="F20" s="4" t="s">
        <v>5</v>
      </c>
      <c r="G20" s="4" t="s">
        <v>6</v>
      </c>
    </row>
    <row r="21" spans="1:7">
      <c r="A21" s="4" t="s">
        <v>81</v>
      </c>
      <c r="B21" s="4" t="s">
        <v>82</v>
      </c>
      <c r="C21" s="4" t="s">
        <v>45</v>
      </c>
      <c r="D21" s="4" t="s">
        <v>83</v>
      </c>
      <c r="E21" s="4" t="s">
        <v>59</v>
      </c>
      <c r="F21" s="4" t="s">
        <v>5</v>
      </c>
      <c r="G21" s="4" t="s">
        <v>6</v>
      </c>
    </row>
    <row r="22" spans="1:7">
      <c r="A22" s="4" t="s">
        <v>84</v>
      </c>
      <c r="B22" s="4" t="s">
        <v>85</v>
      </c>
      <c r="C22" s="4" t="s">
        <v>86</v>
      </c>
      <c r="D22" s="4" t="s">
        <v>87</v>
      </c>
      <c r="E22" s="4" t="s">
        <v>88</v>
      </c>
      <c r="F22" s="4" t="s">
        <v>5</v>
      </c>
      <c r="G22" s="4" t="s">
        <v>6</v>
      </c>
    </row>
    <row r="23" spans="1:7">
      <c r="A23" s="4" t="s">
        <v>89</v>
      </c>
      <c r="B23" s="4" t="s">
        <v>90</v>
      </c>
      <c r="C23" s="4" t="s">
        <v>86</v>
      </c>
      <c r="D23" s="4" t="s">
        <v>91</v>
      </c>
      <c r="E23" s="4" t="s">
        <v>92</v>
      </c>
      <c r="F23" s="4" t="s">
        <v>5</v>
      </c>
      <c r="G23" s="4" t="s">
        <v>6</v>
      </c>
    </row>
    <row r="24" spans="1:7">
      <c r="A24" s="4" t="s">
        <v>93</v>
      </c>
      <c r="B24" s="4" t="s">
        <v>94</v>
      </c>
      <c r="C24" s="4" t="s">
        <v>95</v>
      </c>
      <c r="D24" s="4" t="s">
        <v>96</v>
      </c>
      <c r="E24" s="4" t="s">
        <v>97</v>
      </c>
      <c r="F24" s="4" t="s">
        <v>12</v>
      </c>
      <c r="G24" s="4" t="s">
        <v>6</v>
      </c>
    </row>
    <row r="25" spans="1:7">
      <c r="A25" s="4" t="s">
        <v>98</v>
      </c>
      <c r="B25" s="4" t="s">
        <v>99</v>
      </c>
      <c r="C25" s="4" t="s">
        <v>95</v>
      </c>
      <c r="D25" s="4" t="s">
        <v>100</v>
      </c>
      <c r="E25" s="4" t="s">
        <v>97</v>
      </c>
      <c r="F25" s="4" t="s">
        <v>12</v>
      </c>
      <c r="G25" s="4" t="s">
        <v>6</v>
      </c>
    </row>
    <row r="26" spans="1:7">
      <c r="A26" s="4" t="s">
        <v>101</v>
      </c>
      <c r="B26" s="4" t="s">
        <v>102</v>
      </c>
      <c r="C26" s="4" t="s">
        <v>95</v>
      </c>
      <c r="D26" s="4" t="s">
        <v>103</v>
      </c>
      <c r="E26" s="4" t="s">
        <v>104</v>
      </c>
      <c r="F26" s="4" t="s">
        <v>16</v>
      </c>
      <c r="G26" s="4" t="s">
        <v>6</v>
      </c>
    </row>
    <row r="27" spans="1:7">
      <c r="A27" s="4" t="s">
        <v>105</v>
      </c>
      <c r="B27" s="4" t="s">
        <v>106</v>
      </c>
      <c r="C27" s="4" t="s">
        <v>95</v>
      </c>
      <c r="D27" s="4" t="s">
        <v>107</v>
      </c>
      <c r="E27" s="4" t="s">
        <v>104</v>
      </c>
      <c r="F27" s="4" t="s">
        <v>16</v>
      </c>
      <c r="G27" s="4" t="s">
        <v>6</v>
      </c>
    </row>
    <row r="28" spans="1:7">
      <c r="A28" s="4" t="s">
        <v>108</v>
      </c>
      <c r="B28" s="4" t="s">
        <v>109</v>
      </c>
      <c r="C28" s="4" t="s">
        <v>95</v>
      </c>
      <c r="D28" s="4" t="s">
        <v>110</v>
      </c>
      <c r="E28" s="4" t="s">
        <v>111</v>
      </c>
      <c r="F28" s="4" t="s">
        <v>20</v>
      </c>
      <c r="G28" s="4" t="s">
        <v>6</v>
      </c>
    </row>
    <row r="29" spans="1:7">
      <c r="A29" s="4" t="s">
        <v>112</v>
      </c>
      <c r="B29" s="4" t="s">
        <v>113</v>
      </c>
      <c r="C29" s="4" t="s">
        <v>95</v>
      </c>
      <c r="D29" s="4" t="s">
        <v>114</v>
      </c>
      <c r="E29" s="4" t="s">
        <v>115</v>
      </c>
      <c r="F29" s="4" t="s">
        <v>24</v>
      </c>
      <c r="G29" s="4" t="s">
        <v>73</v>
      </c>
    </row>
    <row r="30" spans="1:7">
      <c r="A30" s="4" t="s">
        <v>116</v>
      </c>
      <c r="B30" s="4" t="s">
        <v>117</v>
      </c>
      <c r="C30" s="4" t="s">
        <v>95</v>
      </c>
      <c r="D30" s="4" t="s">
        <v>118</v>
      </c>
      <c r="E30" s="4" t="s">
        <v>119</v>
      </c>
      <c r="F30" s="4" t="s">
        <v>120</v>
      </c>
      <c r="G30" s="4" t="s">
        <v>6</v>
      </c>
    </row>
    <row r="31" spans="1:7">
      <c r="A31" s="4" t="s">
        <v>121</v>
      </c>
      <c r="B31" s="4" t="s">
        <v>122</v>
      </c>
      <c r="C31" s="4" t="s">
        <v>95</v>
      </c>
      <c r="D31" s="4" t="s">
        <v>123</v>
      </c>
      <c r="E31" s="4" t="s">
        <v>97</v>
      </c>
      <c r="F31" s="4" t="s">
        <v>124</v>
      </c>
      <c r="G31" s="4" t="s">
        <v>6</v>
      </c>
    </row>
    <row r="32" spans="1:7">
      <c r="A32" s="4" t="s">
        <v>125</v>
      </c>
      <c r="B32" s="4" t="s">
        <v>126</v>
      </c>
      <c r="C32" s="4" t="s">
        <v>127</v>
      </c>
      <c r="D32" s="4" t="s">
        <v>128</v>
      </c>
      <c r="E32" s="4" t="s">
        <v>129</v>
      </c>
      <c r="F32" s="4" t="s">
        <v>130</v>
      </c>
      <c r="G32" s="4" t="s">
        <v>6</v>
      </c>
    </row>
    <row r="33" spans="1:7">
      <c r="A33" s="4" t="s">
        <v>131</v>
      </c>
      <c r="B33" s="4" t="s">
        <v>132</v>
      </c>
      <c r="C33" s="4" t="s">
        <v>127</v>
      </c>
      <c r="D33" s="4" t="s">
        <v>133</v>
      </c>
      <c r="E33" s="4" t="s">
        <v>129</v>
      </c>
      <c r="F33" s="4" t="s">
        <v>130</v>
      </c>
      <c r="G33" s="4" t="s">
        <v>6</v>
      </c>
    </row>
    <row r="34" spans="1:7">
      <c r="A34" s="4" t="s">
        <v>134</v>
      </c>
      <c r="B34" s="4" t="s">
        <v>135</v>
      </c>
      <c r="C34" s="4" t="s">
        <v>127</v>
      </c>
      <c r="D34" s="4" t="s">
        <v>136</v>
      </c>
      <c r="E34" s="4" t="s">
        <v>137</v>
      </c>
      <c r="F34" s="4" t="s">
        <v>138</v>
      </c>
      <c r="G34" s="4" t="s">
        <v>6</v>
      </c>
    </row>
    <row r="35" spans="1:7">
      <c r="A35" s="4" t="s">
        <v>139</v>
      </c>
      <c r="B35" s="4" t="s">
        <v>140</v>
      </c>
      <c r="C35" s="4" t="s">
        <v>127</v>
      </c>
      <c r="D35" s="4" t="s">
        <v>141</v>
      </c>
      <c r="E35" s="4" t="s">
        <v>137</v>
      </c>
      <c r="F35" s="4" t="s">
        <v>138</v>
      </c>
      <c r="G35" s="4" t="s">
        <v>6</v>
      </c>
    </row>
    <row r="36" spans="1:7">
      <c r="A36" s="4" t="s">
        <v>142</v>
      </c>
      <c r="B36" s="4" t="s">
        <v>143</v>
      </c>
      <c r="C36" s="4" t="s">
        <v>127</v>
      </c>
      <c r="D36" s="4" t="s">
        <v>144</v>
      </c>
      <c r="E36" s="4" t="s">
        <v>129</v>
      </c>
      <c r="F36" s="4" t="s">
        <v>138</v>
      </c>
      <c r="G36" s="4" t="s">
        <v>6</v>
      </c>
    </row>
    <row r="37" spans="1:7">
      <c r="A37" s="4" t="s">
        <v>145</v>
      </c>
      <c r="B37" s="4" t="s">
        <v>146</v>
      </c>
      <c r="C37" s="4" t="s">
        <v>127</v>
      </c>
      <c r="D37" s="4" t="s">
        <v>147</v>
      </c>
      <c r="E37" s="4" t="s">
        <v>137</v>
      </c>
      <c r="F37" s="4" t="s">
        <v>148</v>
      </c>
      <c r="G37" s="4" t="s">
        <v>6</v>
      </c>
    </row>
    <row r="38" spans="1:7">
      <c r="A38" s="4" t="s">
        <v>149</v>
      </c>
      <c r="B38" s="4" t="s">
        <v>150</v>
      </c>
      <c r="C38" s="4" t="s">
        <v>127</v>
      </c>
      <c r="D38" s="4" t="s">
        <v>151</v>
      </c>
      <c r="E38" s="4" t="s">
        <v>129</v>
      </c>
      <c r="F38" s="4" t="s">
        <v>148</v>
      </c>
      <c r="G38" s="4" t="s">
        <v>6</v>
      </c>
    </row>
    <row r="39" spans="1:7">
      <c r="A39" s="4" t="s">
        <v>152</v>
      </c>
      <c r="B39" s="4" t="s">
        <v>153</v>
      </c>
      <c r="C39" s="4" t="s">
        <v>127</v>
      </c>
      <c r="D39" s="4" t="s">
        <v>154</v>
      </c>
      <c r="E39" s="4" t="s">
        <v>129</v>
      </c>
      <c r="F39" s="4" t="s">
        <v>148</v>
      </c>
      <c r="G39" s="4" t="s">
        <v>6</v>
      </c>
    </row>
    <row r="40" spans="1:7">
      <c r="A40" s="4" t="s">
        <v>155</v>
      </c>
      <c r="B40" s="4" t="s">
        <v>156</v>
      </c>
      <c r="C40" s="4" t="s">
        <v>127</v>
      </c>
      <c r="D40" s="4" t="s">
        <v>157</v>
      </c>
      <c r="E40" s="4" t="s">
        <v>137</v>
      </c>
      <c r="F40" s="4" t="s">
        <v>158</v>
      </c>
      <c r="G40" s="4" t="s">
        <v>6</v>
      </c>
    </row>
    <row r="41" spans="1:7">
      <c r="A41" s="4" t="s">
        <v>159</v>
      </c>
      <c r="B41" s="4" t="s">
        <v>160</v>
      </c>
      <c r="C41" s="4" t="s">
        <v>127</v>
      </c>
      <c r="D41" s="4" t="s">
        <v>161</v>
      </c>
      <c r="E41" s="4" t="s">
        <v>129</v>
      </c>
      <c r="F41" s="4" t="s">
        <v>158</v>
      </c>
      <c r="G41" s="4" t="s">
        <v>6</v>
      </c>
    </row>
    <row r="42" spans="1:7">
      <c r="A42" s="4" t="s">
        <v>162</v>
      </c>
      <c r="B42" s="4" t="s">
        <v>163</v>
      </c>
      <c r="C42" s="4" t="s">
        <v>127</v>
      </c>
      <c r="D42" s="4" t="s">
        <v>164</v>
      </c>
      <c r="E42" s="4" t="s">
        <v>137</v>
      </c>
      <c r="F42" s="4" t="s">
        <v>165</v>
      </c>
      <c r="G42" s="4" t="s">
        <v>6</v>
      </c>
    </row>
    <row r="43" spans="1:7">
      <c r="A43" s="4" t="s">
        <v>166</v>
      </c>
      <c r="B43" s="4" t="s">
        <v>167</v>
      </c>
      <c r="C43" s="4" t="s">
        <v>127</v>
      </c>
      <c r="D43" s="4" t="s">
        <v>168</v>
      </c>
      <c r="E43" s="4" t="s">
        <v>137</v>
      </c>
      <c r="F43" s="4" t="s">
        <v>165</v>
      </c>
      <c r="G43" s="4" t="s">
        <v>6</v>
      </c>
    </row>
    <row r="44" spans="1:7">
      <c r="A44" s="4" t="s">
        <v>169</v>
      </c>
      <c r="B44" s="4" t="s">
        <v>170</v>
      </c>
      <c r="C44" s="4" t="s">
        <v>127</v>
      </c>
      <c r="D44" s="4" t="s">
        <v>171</v>
      </c>
      <c r="E44" s="4" t="s">
        <v>59</v>
      </c>
      <c r="F44" s="4" t="s">
        <v>165</v>
      </c>
      <c r="G44" s="4" t="s">
        <v>6</v>
      </c>
    </row>
    <row r="45" spans="1:7">
      <c r="A45" s="4" t="s">
        <v>172</v>
      </c>
      <c r="B45" s="4" t="s">
        <v>173</v>
      </c>
      <c r="C45" s="4" t="s">
        <v>127</v>
      </c>
      <c r="D45" s="4" t="s">
        <v>174</v>
      </c>
      <c r="E45" s="4" t="s">
        <v>129</v>
      </c>
      <c r="F45" s="4" t="s">
        <v>175</v>
      </c>
      <c r="G45" s="4" t="s">
        <v>6</v>
      </c>
    </row>
    <row r="46" spans="1:7">
      <c r="A46" s="4" t="s">
        <v>176</v>
      </c>
      <c r="B46" s="4" t="s">
        <v>177</v>
      </c>
      <c r="C46" s="4" t="s">
        <v>127</v>
      </c>
      <c r="D46" s="4" t="s">
        <v>178</v>
      </c>
      <c r="E46" s="4" t="s">
        <v>137</v>
      </c>
      <c r="F46" s="4" t="s">
        <v>175</v>
      </c>
      <c r="G46" s="4" t="s">
        <v>6</v>
      </c>
    </row>
    <row r="47" spans="1:7">
      <c r="A47" s="4" t="s">
        <v>179</v>
      </c>
      <c r="B47" s="4" t="s">
        <v>180</v>
      </c>
      <c r="C47" s="4" t="s">
        <v>127</v>
      </c>
      <c r="D47" s="4" t="s">
        <v>181</v>
      </c>
      <c r="E47" s="4" t="s">
        <v>137</v>
      </c>
      <c r="F47" s="4" t="s">
        <v>182</v>
      </c>
      <c r="G47" s="4" t="s">
        <v>6</v>
      </c>
    </row>
    <row r="48" spans="1:7">
      <c r="A48" s="4" t="s">
        <v>183</v>
      </c>
      <c r="B48" s="4" t="s">
        <v>184</v>
      </c>
      <c r="C48" s="4" t="s">
        <v>127</v>
      </c>
      <c r="D48" s="4" t="s">
        <v>185</v>
      </c>
      <c r="E48" s="4" t="s">
        <v>137</v>
      </c>
      <c r="F48" s="4" t="s">
        <v>182</v>
      </c>
      <c r="G48" s="4" t="s">
        <v>6</v>
      </c>
    </row>
    <row r="49" spans="1:7">
      <c r="A49" s="4" t="s">
        <v>186</v>
      </c>
      <c r="B49" s="4" t="s">
        <v>187</v>
      </c>
      <c r="C49" s="4" t="s">
        <v>127</v>
      </c>
      <c r="D49" s="4" t="s">
        <v>188</v>
      </c>
      <c r="E49" s="4" t="s">
        <v>129</v>
      </c>
      <c r="F49" s="4" t="s">
        <v>189</v>
      </c>
      <c r="G49" s="4" t="s">
        <v>6</v>
      </c>
    </row>
    <row r="50" spans="1:7">
      <c r="A50" s="4" t="s">
        <v>190</v>
      </c>
      <c r="B50" s="4" t="s">
        <v>191</v>
      </c>
      <c r="C50" s="4" t="s">
        <v>127</v>
      </c>
      <c r="D50" s="4" t="s">
        <v>192</v>
      </c>
      <c r="E50" s="4" t="s">
        <v>129</v>
      </c>
      <c r="F50" s="4" t="s">
        <v>189</v>
      </c>
      <c r="G50" s="4" t="s">
        <v>6</v>
      </c>
    </row>
    <row r="51" spans="1:7">
      <c r="A51" s="4" t="s">
        <v>193</v>
      </c>
      <c r="B51" s="4" t="s">
        <v>194</v>
      </c>
      <c r="C51" s="4" t="s">
        <v>127</v>
      </c>
      <c r="D51" s="4" t="s">
        <v>195</v>
      </c>
      <c r="E51" s="4" t="s">
        <v>196</v>
      </c>
      <c r="F51" s="4" t="s">
        <v>189</v>
      </c>
      <c r="G51" s="4" t="s">
        <v>6</v>
      </c>
    </row>
    <row r="52" spans="1:7">
      <c r="A52" s="4" t="s">
        <v>197</v>
      </c>
      <c r="B52" s="4" t="s">
        <v>198</v>
      </c>
      <c r="C52" s="4" t="s">
        <v>199</v>
      </c>
      <c r="D52" s="4" t="s">
        <v>200</v>
      </c>
      <c r="E52" s="4" t="s">
        <v>137</v>
      </c>
      <c r="F52" s="4" t="s">
        <v>182</v>
      </c>
      <c r="G52" s="4" t="s">
        <v>6</v>
      </c>
    </row>
    <row r="53" spans="1:7">
      <c r="A53" s="4" t="s">
        <v>201</v>
      </c>
      <c r="B53" s="4" t="s">
        <v>202</v>
      </c>
      <c r="C53" s="4" t="s">
        <v>199</v>
      </c>
      <c r="D53" s="4" t="s">
        <v>203</v>
      </c>
      <c r="E53" s="4" t="s">
        <v>137</v>
      </c>
      <c r="F53" s="4" t="s">
        <v>182</v>
      </c>
      <c r="G53" s="4" t="s">
        <v>6</v>
      </c>
    </row>
    <row r="54" spans="1:7">
      <c r="A54" s="4" t="s">
        <v>204</v>
      </c>
      <c r="B54" s="4" t="s">
        <v>205</v>
      </c>
      <c r="C54" s="4" t="s">
        <v>199</v>
      </c>
      <c r="D54" s="4" t="s">
        <v>206</v>
      </c>
      <c r="E54" s="4" t="s">
        <v>59</v>
      </c>
      <c r="F54" s="4" t="s">
        <v>165</v>
      </c>
      <c r="G54" s="4" t="s">
        <v>6</v>
      </c>
    </row>
    <row r="55" spans="1:7">
      <c r="A55" s="4" t="s">
        <v>207</v>
      </c>
      <c r="B55" s="4" t="s">
        <v>208</v>
      </c>
      <c r="C55" s="4" t="s">
        <v>199</v>
      </c>
      <c r="D55" s="4" t="s">
        <v>209</v>
      </c>
      <c r="E55" s="4" t="s">
        <v>129</v>
      </c>
      <c r="F55" s="4" t="s">
        <v>210</v>
      </c>
      <c r="G55" s="4" t="s">
        <v>6</v>
      </c>
    </row>
    <row r="56" spans="1:7">
      <c r="A56" s="4" t="s">
        <v>211</v>
      </c>
      <c r="B56" s="4" t="s">
        <v>212</v>
      </c>
      <c r="C56" s="4" t="s">
        <v>199</v>
      </c>
      <c r="D56" s="4" t="s">
        <v>213</v>
      </c>
      <c r="E56" s="4" t="s">
        <v>137</v>
      </c>
      <c r="F56" s="4" t="s">
        <v>210</v>
      </c>
      <c r="G56" s="4" t="s">
        <v>6</v>
      </c>
    </row>
    <row r="57" spans="1:7">
      <c r="A57" s="4" t="s">
        <v>214</v>
      </c>
      <c r="B57" s="4" t="s">
        <v>215</v>
      </c>
      <c r="C57" s="4" t="s">
        <v>216</v>
      </c>
      <c r="D57" s="4" t="s">
        <v>217</v>
      </c>
      <c r="E57" s="4" t="s">
        <v>218</v>
      </c>
      <c r="F57" s="4" t="s">
        <v>138</v>
      </c>
      <c r="G57" s="4" t="s">
        <v>6</v>
      </c>
    </row>
    <row r="58" spans="1:7">
      <c r="A58" s="4" t="s">
        <v>219</v>
      </c>
      <c r="B58" s="4" t="s">
        <v>220</v>
      </c>
      <c r="C58" s="4" t="s">
        <v>216</v>
      </c>
      <c r="D58" s="4" t="s">
        <v>221</v>
      </c>
      <c r="E58" s="4" t="s">
        <v>218</v>
      </c>
      <c r="F58" s="4" t="s">
        <v>148</v>
      </c>
      <c r="G58" s="4" t="s">
        <v>6</v>
      </c>
    </row>
    <row r="59" spans="1:7">
      <c r="A59" s="4" t="s">
        <v>222</v>
      </c>
      <c r="B59" s="4" t="s">
        <v>223</v>
      </c>
      <c r="C59" s="4" t="s">
        <v>216</v>
      </c>
      <c r="D59" s="4" t="s">
        <v>224</v>
      </c>
      <c r="E59" s="4" t="s">
        <v>218</v>
      </c>
      <c r="F59" s="4" t="s">
        <v>158</v>
      </c>
      <c r="G59" s="4" t="s">
        <v>6</v>
      </c>
    </row>
    <row r="60" spans="1:7">
      <c r="A60" s="4" t="s">
        <v>225</v>
      </c>
      <c r="B60" s="4" t="s">
        <v>226</v>
      </c>
      <c r="C60" s="4" t="s">
        <v>216</v>
      </c>
      <c r="D60" s="4" t="s">
        <v>227</v>
      </c>
      <c r="E60" s="4" t="s">
        <v>218</v>
      </c>
      <c r="F60" s="4" t="s">
        <v>175</v>
      </c>
      <c r="G60" s="4" t="s">
        <v>6</v>
      </c>
    </row>
    <row r="61" spans="1:7">
      <c r="A61" s="4" t="s">
        <v>228</v>
      </c>
      <c r="B61" s="4" t="s">
        <v>229</v>
      </c>
      <c r="C61" s="4" t="s">
        <v>216</v>
      </c>
      <c r="D61" s="4" t="s">
        <v>230</v>
      </c>
      <c r="E61" s="4" t="s">
        <v>218</v>
      </c>
      <c r="F61" s="4" t="s">
        <v>182</v>
      </c>
      <c r="G61" s="4" t="s">
        <v>6</v>
      </c>
    </row>
    <row r="62" spans="1:7">
      <c r="A62" s="4" t="s">
        <v>231</v>
      </c>
      <c r="B62" s="4" t="s">
        <v>232</v>
      </c>
      <c r="C62" s="4" t="s">
        <v>233</v>
      </c>
      <c r="D62" s="4" t="s">
        <v>234</v>
      </c>
      <c r="E62" s="4" t="s">
        <v>235</v>
      </c>
      <c r="F62" s="4" t="s">
        <v>120</v>
      </c>
      <c r="G62" s="4" t="s">
        <v>6</v>
      </c>
    </row>
    <row r="63" spans="1:7">
      <c r="A63" s="4" t="s">
        <v>236</v>
      </c>
      <c r="B63" s="4" t="s">
        <v>237</v>
      </c>
      <c r="C63" s="4" t="s">
        <v>233</v>
      </c>
      <c r="D63" s="4" t="s">
        <v>238</v>
      </c>
      <c r="E63" s="4" t="s">
        <v>235</v>
      </c>
      <c r="F63" s="4" t="s">
        <v>120</v>
      </c>
      <c r="G63" s="4" t="s">
        <v>6</v>
      </c>
    </row>
    <row r="64" spans="1:7">
      <c r="A64" s="4" t="s">
        <v>239</v>
      </c>
      <c r="B64" s="4" t="s">
        <v>240</v>
      </c>
      <c r="C64" s="4" t="s">
        <v>233</v>
      </c>
      <c r="D64" s="4" t="s">
        <v>241</v>
      </c>
      <c r="E64" s="4" t="s">
        <v>242</v>
      </c>
      <c r="F64" s="4" t="s">
        <v>12</v>
      </c>
      <c r="G64" s="4" t="s">
        <v>6</v>
      </c>
    </row>
    <row r="65" spans="1:7">
      <c r="A65" s="4" t="s">
        <v>243</v>
      </c>
      <c r="B65" s="4" t="s">
        <v>244</v>
      </c>
      <c r="C65" s="4" t="s">
        <v>233</v>
      </c>
      <c r="D65" s="4" t="s">
        <v>245</v>
      </c>
      <c r="E65" s="4" t="s">
        <v>242</v>
      </c>
      <c r="F65" s="4" t="s">
        <v>12</v>
      </c>
      <c r="G65" s="4" t="s">
        <v>6</v>
      </c>
    </row>
    <row r="66" spans="1:7">
      <c r="A66" s="4" t="s">
        <v>246</v>
      </c>
      <c r="B66" s="4" t="s">
        <v>247</v>
      </c>
      <c r="C66" s="4" t="s">
        <v>233</v>
      </c>
      <c r="D66" s="4" t="s">
        <v>248</v>
      </c>
      <c r="E66" s="4" t="s">
        <v>249</v>
      </c>
      <c r="F66" s="4" t="s">
        <v>16</v>
      </c>
      <c r="G66" s="4" t="s">
        <v>6</v>
      </c>
    </row>
    <row r="67" spans="1:7">
      <c r="A67" s="4" t="s">
        <v>250</v>
      </c>
      <c r="B67" s="4" t="s">
        <v>251</v>
      </c>
      <c r="C67" s="4" t="s">
        <v>233</v>
      </c>
      <c r="D67" s="4" t="s">
        <v>252</v>
      </c>
      <c r="E67" s="4" t="s">
        <v>249</v>
      </c>
      <c r="F67" s="4" t="s">
        <v>16</v>
      </c>
      <c r="G67" s="4" t="s">
        <v>6</v>
      </c>
    </row>
    <row r="68" spans="1:7">
      <c r="A68" s="4" t="s">
        <v>253</v>
      </c>
      <c r="B68" s="4" t="s">
        <v>254</v>
      </c>
      <c r="C68" s="4" t="s">
        <v>233</v>
      </c>
      <c r="D68" s="4" t="s">
        <v>255</v>
      </c>
      <c r="E68" s="4" t="s">
        <v>256</v>
      </c>
      <c r="F68" s="4" t="s">
        <v>20</v>
      </c>
      <c r="G68" s="4" t="s">
        <v>73</v>
      </c>
    </row>
    <row r="69" spans="1:7">
      <c r="A69" s="4" t="s">
        <v>257</v>
      </c>
      <c r="B69" s="4" t="s">
        <v>258</v>
      </c>
      <c r="C69" s="4" t="s">
        <v>233</v>
      </c>
      <c r="D69" s="4" t="s">
        <v>259</v>
      </c>
      <c r="E69" s="4" t="s">
        <v>242</v>
      </c>
      <c r="F69" s="4" t="s">
        <v>5</v>
      </c>
      <c r="G69" s="4" t="s">
        <v>6</v>
      </c>
    </row>
    <row r="70" spans="1:7">
      <c r="A70" s="4" t="s">
        <v>260</v>
      </c>
      <c r="B70" s="4" t="s">
        <v>261</v>
      </c>
      <c r="C70" s="4" t="s">
        <v>233</v>
      </c>
      <c r="D70" s="4" t="s">
        <v>262</v>
      </c>
      <c r="E70" s="4" t="s">
        <v>263</v>
      </c>
      <c r="F70" s="4" t="s">
        <v>264</v>
      </c>
      <c r="G70" s="4" t="s">
        <v>6</v>
      </c>
    </row>
    <row r="71" spans="1:7">
      <c r="A71" s="4" t="s">
        <v>265</v>
      </c>
      <c r="B71" s="4" t="s">
        <v>266</v>
      </c>
      <c r="C71" s="4" t="s">
        <v>233</v>
      </c>
      <c r="D71" s="4" t="s">
        <v>267</v>
      </c>
      <c r="E71" s="4" t="s">
        <v>263</v>
      </c>
      <c r="F71" s="4" t="s">
        <v>264</v>
      </c>
      <c r="G71" s="4" t="s">
        <v>6</v>
      </c>
    </row>
    <row r="72" spans="1:7">
      <c r="A72" s="4" t="s">
        <v>268</v>
      </c>
      <c r="B72" s="4" t="s">
        <v>269</v>
      </c>
      <c r="C72" s="4" t="s">
        <v>270</v>
      </c>
      <c r="D72" s="4" t="s">
        <v>271</v>
      </c>
      <c r="E72" s="4" t="s">
        <v>272</v>
      </c>
      <c r="F72" s="4" t="s">
        <v>130</v>
      </c>
      <c r="G72" s="4" t="s">
        <v>6</v>
      </c>
    </row>
    <row r="73" spans="1:7">
      <c r="A73" s="4" t="s">
        <v>273</v>
      </c>
      <c r="B73" s="4" t="s">
        <v>274</v>
      </c>
      <c r="C73" s="4" t="s">
        <v>270</v>
      </c>
      <c r="D73" s="4" t="s">
        <v>275</v>
      </c>
      <c r="E73" s="4" t="s">
        <v>272</v>
      </c>
      <c r="F73" s="4" t="s">
        <v>138</v>
      </c>
      <c r="G73" s="4" t="s">
        <v>6</v>
      </c>
    </row>
    <row r="74" spans="1:7">
      <c r="A74" s="4" t="s">
        <v>276</v>
      </c>
      <c r="B74" s="4" t="s">
        <v>277</v>
      </c>
      <c r="C74" s="4" t="s">
        <v>270</v>
      </c>
      <c r="D74" s="4" t="s">
        <v>278</v>
      </c>
      <c r="E74" s="4" t="s">
        <v>279</v>
      </c>
      <c r="F74" s="4" t="s">
        <v>138</v>
      </c>
      <c r="G74" s="4" t="s">
        <v>6</v>
      </c>
    </row>
    <row r="75" spans="1:7">
      <c r="A75" s="4" t="s">
        <v>280</v>
      </c>
      <c r="B75" s="4" t="s">
        <v>281</v>
      </c>
      <c r="C75" s="4" t="s">
        <v>270</v>
      </c>
      <c r="D75" s="4" t="s">
        <v>282</v>
      </c>
      <c r="E75" s="4" t="s">
        <v>283</v>
      </c>
      <c r="F75" s="4" t="s">
        <v>182</v>
      </c>
      <c r="G75" s="4" t="s">
        <v>6</v>
      </c>
    </row>
    <row r="76" spans="1:7">
      <c r="A76" s="4" t="s">
        <v>284</v>
      </c>
      <c r="B76" s="4" t="s">
        <v>285</v>
      </c>
      <c r="C76" s="4" t="s">
        <v>270</v>
      </c>
      <c r="D76" s="4" t="s">
        <v>286</v>
      </c>
      <c r="E76" s="4" t="s">
        <v>272</v>
      </c>
      <c r="F76" s="4" t="s">
        <v>158</v>
      </c>
      <c r="G76" s="4" t="s">
        <v>6</v>
      </c>
    </row>
    <row r="77" spans="1:7">
      <c r="A77" s="4" t="s">
        <v>287</v>
      </c>
      <c r="B77" s="4" t="s">
        <v>288</v>
      </c>
      <c r="C77" s="4" t="s">
        <v>270</v>
      </c>
      <c r="D77" s="4" t="s">
        <v>289</v>
      </c>
      <c r="E77" s="4" t="s">
        <v>279</v>
      </c>
      <c r="F77" s="4" t="s">
        <v>175</v>
      </c>
      <c r="G77" s="4" t="s">
        <v>6</v>
      </c>
    </row>
    <row r="78" spans="1:7">
      <c r="A78" s="4" t="s">
        <v>290</v>
      </c>
      <c r="B78" s="4" t="s">
        <v>291</v>
      </c>
      <c r="C78" s="4" t="s">
        <v>270</v>
      </c>
      <c r="D78" s="4" t="s">
        <v>292</v>
      </c>
      <c r="E78" s="4" t="s">
        <v>283</v>
      </c>
      <c r="F78" s="4" t="s">
        <v>165</v>
      </c>
      <c r="G78" s="4" t="s">
        <v>6</v>
      </c>
    </row>
    <row r="79" spans="1:7">
      <c r="A79" s="4" t="s">
        <v>293</v>
      </c>
      <c r="B79" s="4" t="s">
        <v>294</v>
      </c>
      <c r="C79" s="4" t="s">
        <v>295</v>
      </c>
      <c r="D79" s="4" t="s">
        <v>296</v>
      </c>
      <c r="E79" s="4" t="s">
        <v>297</v>
      </c>
      <c r="F79" s="4" t="s">
        <v>130</v>
      </c>
      <c r="G79" s="4" t="s">
        <v>6</v>
      </c>
    </row>
    <row r="80" spans="1:7">
      <c r="A80" s="4" t="s">
        <v>298</v>
      </c>
      <c r="B80" s="4" t="s">
        <v>299</v>
      </c>
      <c r="C80" s="4" t="s">
        <v>295</v>
      </c>
      <c r="D80" s="4" t="s">
        <v>300</v>
      </c>
      <c r="E80" s="4" t="s">
        <v>301</v>
      </c>
      <c r="F80" s="4" t="s">
        <v>182</v>
      </c>
      <c r="G80" s="4" t="s">
        <v>6</v>
      </c>
    </row>
    <row r="81" spans="1:7">
      <c r="A81" s="4" t="s">
        <v>302</v>
      </c>
      <c r="B81" s="4" t="s">
        <v>303</v>
      </c>
      <c r="C81" s="4" t="s">
        <v>295</v>
      </c>
      <c r="D81" s="4" t="s">
        <v>304</v>
      </c>
      <c r="E81" s="4" t="s">
        <v>305</v>
      </c>
      <c r="F81" s="4" t="s">
        <v>165</v>
      </c>
      <c r="G81" s="4" t="s">
        <v>6</v>
      </c>
    </row>
    <row r="82" spans="1:7">
      <c r="A82" s="4" t="s">
        <v>306</v>
      </c>
      <c r="B82" s="4" t="s">
        <v>307</v>
      </c>
      <c r="C82" s="4" t="s">
        <v>308</v>
      </c>
      <c r="D82" s="4" t="s">
        <v>309</v>
      </c>
      <c r="E82" s="4" t="s">
        <v>263</v>
      </c>
      <c r="F82" s="4" t="s">
        <v>5</v>
      </c>
      <c r="G82" s="4" t="s">
        <v>6</v>
      </c>
    </row>
    <row r="83" spans="1:7">
      <c r="A83" s="4" t="s">
        <v>310</v>
      </c>
      <c r="B83" s="4" t="s">
        <v>311</v>
      </c>
      <c r="C83" s="4" t="s">
        <v>308</v>
      </c>
      <c r="D83" s="4" t="s">
        <v>312</v>
      </c>
      <c r="E83" s="4" t="s">
        <v>263</v>
      </c>
      <c r="F83" s="4" t="s">
        <v>5</v>
      </c>
      <c r="G83" s="4" t="s">
        <v>6</v>
      </c>
    </row>
    <row r="84" spans="1:7">
      <c r="A84" s="4" t="s">
        <v>313</v>
      </c>
      <c r="B84" s="4" t="s">
        <v>314</v>
      </c>
      <c r="C84" s="4" t="s">
        <v>315</v>
      </c>
      <c r="D84" s="4" t="s">
        <v>316</v>
      </c>
      <c r="E84" s="4" t="s">
        <v>317</v>
      </c>
      <c r="F84" s="4" t="s">
        <v>5</v>
      </c>
      <c r="G84" s="4" t="s">
        <v>6</v>
      </c>
    </row>
    <row r="85" spans="1:7">
      <c r="A85" s="4" t="s">
        <v>318</v>
      </c>
      <c r="B85" s="4" t="s">
        <v>319</v>
      </c>
      <c r="C85" s="4" t="s">
        <v>315</v>
      </c>
      <c r="D85" s="4" t="s">
        <v>320</v>
      </c>
      <c r="E85" s="4" t="s">
        <v>317</v>
      </c>
      <c r="F85" s="4" t="s">
        <v>5</v>
      </c>
      <c r="G85" s="4" t="s">
        <v>6</v>
      </c>
    </row>
    <row r="86" spans="1:7">
      <c r="A86" s="4" t="s">
        <v>321</v>
      </c>
      <c r="B86" s="4" t="s">
        <v>322</v>
      </c>
      <c r="C86" s="4" t="s">
        <v>127</v>
      </c>
      <c r="D86" s="4" t="s">
        <v>323</v>
      </c>
      <c r="E86" s="4" t="s">
        <v>129</v>
      </c>
      <c r="F86" s="4" t="s">
        <v>324</v>
      </c>
      <c r="G86" s="4" t="s">
        <v>6</v>
      </c>
    </row>
    <row r="87" spans="1:7">
      <c r="A87" s="4" t="s">
        <v>325</v>
      </c>
      <c r="B87" s="4" t="s">
        <v>326</v>
      </c>
      <c r="C87" s="4" t="s">
        <v>127</v>
      </c>
      <c r="D87" s="4" t="s">
        <v>327</v>
      </c>
      <c r="E87" s="4" t="s">
        <v>137</v>
      </c>
      <c r="F87" s="4" t="s">
        <v>324</v>
      </c>
      <c r="G87" s="4" t="s">
        <v>6</v>
      </c>
    </row>
    <row r="88" spans="1:7">
      <c r="A88" s="4" t="s">
        <v>328</v>
      </c>
      <c r="B88" s="4" t="s">
        <v>329</v>
      </c>
      <c r="C88" s="4" t="s">
        <v>127</v>
      </c>
      <c r="D88" s="4" t="s">
        <v>330</v>
      </c>
      <c r="E88" s="4" t="s">
        <v>129</v>
      </c>
      <c r="F88" s="4" t="s">
        <v>331</v>
      </c>
      <c r="G88" s="4" t="s">
        <v>6</v>
      </c>
    </row>
    <row r="89" spans="1:7">
      <c r="A89" s="4" t="s">
        <v>332</v>
      </c>
      <c r="B89" s="4" t="s">
        <v>333</v>
      </c>
      <c r="C89" s="4" t="s">
        <v>127</v>
      </c>
      <c r="D89" s="4" t="s">
        <v>334</v>
      </c>
      <c r="E89" s="4" t="s">
        <v>137</v>
      </c>
      <c r="F89" s="4" t="s">
        <v>331</v>
      </c>
      <c r="G89" s="4" t="s">
        <v>6</v>
      </c>
    </row>
    <row r="90" spans="1:7">
      <c r="A90" s="4" t="s">
        <v>335</v>
      </c>
      <c r="B90" s="4" t="s">
        <v>336</v>
      </c>
      <c r="C90" s="4" t="s">
        <v>127</v>
      </c>
      <c r="D90" s="4" t="s">
        <v>337</v>
      </c>
      <c r="E90" s="4" t="s">
        <v>137</v>
      </c>
      <c r="F90" s="4" t="s">
        <v>338</v>
      </c>
      <c r="G90" s="4" t="s">
        <v>6</v>
      </c>
    </row>
    <row r="91" spans="1:7">
      <c r="A91" s="4" t="s">
        <v>339</v>
      </c>
      <c r="B91" s="4" t="s">
        <v>340</v>
      </c>
      <c r="C91" s="4" t="s">
        <v>127</v>
      </c>
      <c r="D91" s="4" t="s">
        <v>341</v>
      </c>
      <c r="E91" s="4" t="s">
        <v>129</v>
      </c>
      <c r="F91" s="4" t="s">
        <v>338</v>
      </c>
      <c r="G91" s="4" t="s">
        <v>6</v>
      </c>
    </row>
    <row r="92" spans="1:7">
      <c r="A92" s="4" t="s">
        <v>342</v>
      </c>
      <c r="B92" s="4" t="s">
        <v>343</v>
      </c>
      <c r="C92" s="4" t="s">
        <v>199</v>
      </c>
      <c r="D92" s="4" t="s">
        <v>344</v>
      </c>
      <c r="E92" s="4" t="s">
        <v>137</v>
      </c>
      <c r="F92" s="4" t="s">
        <v>338</v>
      </c>
      <c r="G92" s="4" t="s">
        <v>6</v>
      </c>
    </row>
    <row r="93" spans="1:7">
      <c r="A93" s="4" t="s">
        <v>345</v>
      </c>
      <c r="B93" s="4" t="s">
        <v>346</v>
      </c>
      <c r="C93" s="4" t="s">
        <v>45</v>
      </c>
      <c r="D93" s="4" t="s">
        <v>347</v>
      </c>
      <c r="E93" s="4" t="s">
        <v>55</v>
      </c>
      <c r="F93" s="4" t="s">
        <v>5</v>
      </c>
      <c r="G93" s="4" t="s">
        <v>6</v>
      </c>
    </row>
    <row r="94" spans="1:7">
      <c r="A94" s="4" t="s">
        <v>348</v>
      </c>
      <c r="B94" s="4" t="s">
        <v>349</v>
      </c>
      <c r="C94" s="4" t="s">
        <v>45</v>
      </c>
      <c r="D94" s="4" t="s">
        <v>350</v>
      </c>
      <c r="E94" s="4" t="s">
        <v>51</v>
      </c>
      <c r="F94" s="4" t="s">
        <v>5</v>
      </c>
      <c r="G94" s="4" t="s">
        <v>6</v>
      </c>
    </row>
    <row r="95" spans="1:7">
      <c r="A95" s="4" t="s">
        <v>351</v>
      </c>
      <c r="B95" s="4" t="s">
        <v>352</v>
      </c>
      <c r="C95" s="4" t="s">
        <v>127</v>
      </c>
      <c r="D95" s="4" t="s">
        <v>353</v>
      </c>
      <c r="E95" s="4" t="s">
        <v>137</v>
      </c>
      <c r="F95" s="4" t="s">
        <v>354</v>
      </c>
      <c r="G95" s="4" t="s">
        <v>6</v>
      </c>
    </row>
    <row r="96" spans="1:7">
      <c r="A96" s="4" t="s">
        <v>355</v>
      </c>
      <c r="B96" s="4" t="s">
        <v>356</v>
      </c>
      <c r="C96" s="4" t="s">
        <v>127</v>
      </c>
      <c r="D96" s="4" t="s">
        <v>357</v>
      </c>
      <c r="E96" s="4" t="s">
        <v>129</v>
      </c>
      <c r="F96" s="4" t="s">
        <v>354</v>
      </c>
      <c r="G96" s="4" t="s">
        <v>6</v>
      </c>
    </row>
    <row r="97" spans="1:7">
      <c r="A97" s="4" t="s">
        <v>358</v>
      </c>
      <c r="B97" s="4" t="s">
        <v>359</v>
      </c>
      <c r="C97" s="4" t="s">
        <v>95</v>
      </c>
      <c r="D97" s="4" t="s">
        <v>360</v>
      </c>
      <c r="E97" s="4" t="s">
        <v>361</v>
      </c>
      <c r="F97" s="4" t="s">
        <v>362</v>
      </c>
      <c r="G97" s="4" t="s">
        <v>6</v>
      </c>
    </row>
    <row r="98" spans="1:7">
      <c r="A98" s="4" t="s">
        <v>363</v>
      </c>
      <c r="B98" s="4" t="s">
        <v>364</v>
      </c>
      <c r="C98" s="4" t="s">
        <v>233</v>
      </c>
      <c r="D98" s="4" t="s">
        <v>365</v>
      </c>
      <c r="E98" s="4" t="s">
        <v>235</v>
      </c>
      <c r="F98" s="4" t="s">
        <v>362</v>
      </c>
      <c r="G98" s="4" t="s">
        <v>6</v>
      </c>
    </row>
    <row r="99" spans="1:7">
      <c r="A99" s="4" t="s">
        <v>366</v>
      </c>
      <c r="B99" s="4" t="s">
        <v>367</v>
      </c>
      <c r="C99" s="4" t="s">
        <v>216</v>
      </c>
      <c r="D99" s="4" t="s">
        <v>368</v>
      </c>
      <c r="E99" s="4" t="s">
        <v>218</v>
      </c>
      <c r="F99" s="4" t="s">
        <v>165</v>
      </c>
      <c r="G99" s="4" t="s">
        <v>6</v>
      </c>
    </row>
    <row r="100" spans="1:7">
      <c r="A100" s="4" t="s">
        <v>369</v>
      </c>
      <c r="B100" s="4" t="s">
        <v>370</v>
      </c>
      <c r="C100" s="4" t="s">
        <v>127</v>
      </c>
      <c r="D100" s="4" t="s">
        <v>371</v>
      </c>
      <c r="E100" s="4" t="s">
        <v>137</v>
      </c>
      <c r="F100" s="4" t="s">
        <v>372</v>
      </c>
      <c r="G100" s="4" t="s">
        <v>6</v>
      </c>
    </row>
    <row r="101" spans="1:7">
      <c r="A101" s="4" t="s">
        <v>373</v>
      </c>
      <c r="B101" s="4" t="s">
        <v>374</v>
      </c>
      <c r="C101" s="4" t="s">
        <v>127</v>
      </c>
      <c r="D101" s="4" t="s">
        <v>375</v>
      </c>
      <c r="E101" s="4" t="s">
        <v>137</v>
      </c>
      <c r="F101" s="4" t="s">
        <v>372</v>
      </c>
      <c r="G101" s="4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C30C-ABBD-4F73-B6FD-41F4C7BF191E}">
  <dimension ref="A1:H51"/>
  <sheetViews>
    <sheetView workbookViewId="0">
      <selection activeCell="B6" sqref="B6"/>
    </sheetView>
  </sheetViews>
  <sheetFormatPr defaultRowHeight="14.4"/>
  <cols>
    <col min="1" max="2" width="20.77734375" customWidth="1"/>
    <col min="3" max="3" width="27.88671875" customWidth="1"/>
    <col min="4" max="4" width="55.77734375" customWidth="1"/>
    <col min="5" max="8" width="20.77734375" customWidth="1"/>
  </cols>
  <sheetData>
    <row r="1" spans="1:8">
      <c r="A1" s="5" t="s">
        <v>383</v>
      </c>
      <c r="B1" s="5" t="s">
        <v>383</v>
      </c>
      <c r="C1" s="5" t="s">
        <v>384</v>
      </c>
      <c r="D1" s="5" t="s">
        <v>385</v>
      </c>
      <c r="E1" s="5" t="s">
        <v>386</v>
      </c>
      <c r="F1" s="5" t="s">
        <v>382</v>
      </c>
      <c r="G1" s="5" t="s">
        <v>387</v>
      </c>
      <c r="H1" s="5" t="s">
        <v>388</v>
      </c>
    </row>
    <row r="2" spans="1:8" ht="16.05" customHeight="1">
      <c r="A2" s="4" t="s">
        <v>389</v>
      </c>
      <c r="B2" s="4" t="s">
        <v>7</v>
      </c>
      <c r="C2" s="4" t="s">
        <v>390</v>
      </c>
      <c r="D2" s="4" t="s">
        <v>391</v>
      </c>
      <c r="E2" s="4" t="s">
        <v>392</v>
      </c>
      <c r="F2" s="4" t="s">
        <v>393</v>
      </c>
      <c r="G2" s="6">
        <v>45662</v>
      </c>
      <c r="H2" s="4" t="s">
        <v>401</v>
      </c>
    </row>
    <row r="3" spans="1:8" ht="16.05" customHeight="1">
      <c r="A3" s="4" t="s">
        <v>394</v>
      </c>
      <c r="B3" s="4" t="s">
        <v>13</v>
      </c>
      <c r="C3" s="4" t="s">
        <v>390</v>
      </c>
      <c r="D3" s="4" t="s">
        <v>391</v>
      </c>
      <c r="E3" s="4" t="s">
        <v>392</v>
      </c>
      <c r="F3" s="4" t="s">
        <v>393</v>
      </c>
      <c r="G3" s="6">
        <v>45662</v>
      </c>
      <c r="H3" s="4" t="s">
        <v>401</v>
      </c>
    </row>
    <row r="4" spans="1:8" ht="16.05" customHeight="1">
      <c r="A4" s="4" t="s">
        <v>395</v>
      </c>
      <c r="B4" s="4" t="s">
        <v>17</v>
      </c>
      <c r="C4" s="4" t="s">
        <v>390</v>
      </c>
      <c r="D4" s="4" t="s">
        <v>391</v>
      </c>
      <c r="E4" s="4" t="s">
        <v>392</v>
      </c>
      <c r="F4" s="4" t="s">
        <v>393</v>
      </c>
      <c r="G4" s="6">
        <v>45662</v>
      </c>
      <c r="H4" s="4" t="s">
        <v>401</v>
      </c>
    </row>
    <row r="5" spans="1:8" ht="16.05" customHeight="1">
      <c r="A5" s="4" t="s">
        <v>396</v>
      </c>
      <c r="B5" s="4" t="s">
        <v>21</v>
      </c>
      <c r="C5" s="4" t="s">
        <v>390</v>
      </c>
      <c r="D5" s="4" t="s">
        <v>391</v>
      </c>
      <c r="E5" s="4" t="s">
        <v>392</v>
      </c>
      <c r="F5" s="4" t="s">
        <v>397</v>
      </c>
      <c r="G5" s="6">
        <v>45662</v>
      </c>
      <c r="H5" s="4" t="s">
        <v>401</v>
      </c>
    </row>
    <row r="6" spans="1:8" ht="16.05" customHeight="1">
      <c r="A6" s="4" t="s">
        <v>398</v>
      </c>
      <c r="B6" s="4" t="s">
        <v>39</v>
      </c>
      <c r="C6" s="4" t="s">
        <v>399</v>
      </c>
      <c r="D6" s="4" t="s">
        <v>400</v>
      </c>
      <c r="E6" s="4" t="s">
        <v>392</v>
      </c>
      <c r="F6" s="4" t="s">
        <v>393</v>
      </c>
      <c r="G6" s="6">
        <v>45663</v>
      </c>
      <c r="H6" s="4" t="s">
        <v>401</v>
      </c>
    </row>
    <row r="7" spans="1:8" ht="16.05" customHeight="1">
      <c r="A7" s="4" t="s">
        <v>402</v>
      </c>
      <c r="B7" s="4" t="s">
        <v>43</v>
      </c>
      <c r="C7" s="4" t="s">
        <v>403</v>
      </c>
      <c r="D7" s="4" t="s">
        <v>404</v>
      </c>
      <c r="E7" s="4" t="s">
        <v>392</v>
      </c>
      <c r="F7" s="4" t="s">
        <v>393</v>
      </c>
      <c r="G7" s="6">
        <v>45663</v>
      </c>
      <c r="H7" s="4" t="s">
        <v>401</v>
      </c>
    </row>
    <row r="8" spans="1:8" ht="16.05" customHeight="1">
      <c r="A8" s="4" t="s">
        <v>405</v>
      </c>
      <c r="B8" s="4" t="s">
        <v>69</v>
      </c>
      <c r="C8" s="4" t="s">
        <v>406</v>
      </c>
      <c r="D8" s="4" t="s">
        <v>407</v>
      </c>
      <c r="E8" s="4" t="s">
        <v>408</v>
      </c>
      <c r="F8" s="4" t="s">
        <v>393</v>
      </c>
      <c r="G8" s="6">
        <v>45664</v>
      </c>
      <c r="H8" s="4" t="s">
        <v>401</v>
      </c>
    </row>
    <row r="9" spans="1:8" ht="16.05" customHeight="1">
      <c r="A9" s="4" t="s">
        <v>409</v>
      </c>
      <c r="B9" s="4" t="s">
        <v>74</v>
      </c>
      <c r="C9" s="4" t="s">
        <v>410</v>
      </c>
      <c r="D9" s="4" t="s">
        <v>411</v>
      </c>
      <c r="E9" s="4" t="s">
        <v>392</v>
      </c>
      <c r="F9" s="4" t="s">
        <v>397</v>
      </c>
      <c r="G9" s="6">
        <v>45664</v>
      </c>
      <c r="H9" s="4" t="s">
        <v>401</v>
      </c>
    </row>
    <row r="10" spans="1:8" ht="16.05" customHeight="1">
      <c r="A10" s="4" t="s">
        <v>412</v>
      </c>
      <c r="B10" s="4" t="s">
        <v>193</v>
      </c>
      <c r="C10" s="4" t="s">
        <v>413</v>
      </c>
      <c r="D10" s="4" t="s">
        <v>414</v>
      </c>
      <c r="E10" s="4" t="s">
        <v>408</v>
      </c>
      <c r="F10" s="4" t="s">
        <v>393</v>
      </c>
      <c r="G10" s="6">
        <v>45665</v>
      </c>
      <c r="H10" s="4" t="s">
        <v>401</v>
      </c>
    </row>
    <row r="11" spans="1:8" ht="16.05" customHeight="1">
      <c r="A11" s="4" t="s">
        <v>415</v>
      </c>
      <c r="B11" s="4" t="s">
        <v>101</v>
      </c>
      <c r="C11" s="4" t="s">
        <v>390</v>
      </c>
      <c r="D11" s="4" t="s">
        <v>416</v>
      </c>
      <c r="E11" s="4" t="s">
        <v>417</v>
      </c>
      <c r="F11" s="4" t="s">
        <v>393</v>
      </c>
      <c r="G11" s="6">
        <v>45665</v>
      </c>
      <c r="H11" s="4" t="s">
        <v>401</v>
      </c>
    </row>
    <row r="12" spans="1:8" ht="16.05" customHeight="1">
      <c r="A12" s="4" t="s">
        <v>418</v>
      </c>
      <c r="B12" s="4" t="s">
        <v>105</v>
      </c>
      <c r="C12" s="4" t="s">
        <v>390</v>
      </c>
      <c r="D12" s="4" t="s">
        <v>416</v>
      </c>
      <c r="E12" s="4" t="s">
        <v>417</v>
      </c>
      <c r="F12" s="4" t="s">
        <v>393</v>
      </c>
      <c r="G12" s="6">
        <v>45665</v>
      </c>
      <c r="H12" s="4" t="s">
        <v>401</v>
      </c>
    </row>
    <row r="13" spans="1:8" ht="16.05" customHeight="1">
      <c r="A13" s="4" t="s">
        <v>419</v>
      </c>
      <c r="B13" s="4" t="s">
        <v>112</v>
      </c>
      <c r="C13" s="4" t="s">
        <v>420</v>
      </c>
      <c r="D13" s="4" t="s">
        <v>421</v>
      </c>
      <c r="E13" s="4" t="s">
        <v>422</v>
      </c>
      <c r="F13" s="4" t="s">
        <v>393</v>
      </c>
      <c r="G13" s="6">
        <v>45665</v>
      </c>
      <c r="H13" s="4" t="s">
        <v>401</v>
      </c>
    </row>
    <row r="14" spans="1:8" ht="16.05" customHeight="1">
      <c r="A14" s="4" t="s">
        <v>423</v>
      </c>
      <c r="B14" s="4" t="s">
        <v>231</v>
      </c>
      <c r="C14" s="4" t="s">
        <v>424</v>
      </c>
      <c r="D14" s="4" t="s">
        <v>425</v>
      </c>
      <c r="E14" s="4" t="s">
        <v>408</v>
      </c>
      <c r="F14" s="4" t="s">
        <v>393</v>
      </c>
      <c r="G14" s="6">
        <v>45666</v>
      </c>
      <c r="H14" s="4" t="s">
        <v>401</v>
      </c>
    </row>
    <row r="15" spans="1:8" ht="16.05" customHeight="1">
      <c r="A15" s="4" t="s">
        <v>426</v>
      </c>
      <c r="B15" s="4" t="s">
        <v>236</v>
      </c>
      <c r="C15" s="4" t="s">
        <v>424</v>
      </c>
      <c r="D15" s="4" t="s">
        <v>425</v>
      </c>
      <c r="E15" s="4" t="s">
        <v>408</v>
      </c>
      <c r="F15" s="4" t="s">
        <v>393</v>
      </c>
      <c r="G15" s="6">
        <v>45666</v>
      </c>
      <c r="H15" s="4" t="s">
        <v>401</v>
      </c>
    </row>
    <row r="16" spans="1:8" ht="16.05" customHeight="1">
      <c r="A16" s="4" t="s">
        <v>427</v>
      </c>
      <c r="B16" s="4" t="s">
        <v>260</v>
      </c>
      <c r="C16" s="4" t="s">
        <v>428</v>
      </c>
      <c r="D16" s="4" t="s">
        <v>429</v>
      </c>
      <c r="E16" s="4" t="s">
        <v>392</v>
      </c>
      <c r="F16" s="4" t="s">
        <v>393</v>
      </c>
      <c r="G16" s="6">
        <v>45666</v>
      </c>
      <c r="H16" s="4" t="s">
        <v>401</v>
      </c>
    </row>
    <row r="17" spans="1:8" ht="16.05" customHeight="1">
      <c r="A17" s="4" t="s">
        <v>430</v>
      </c>
      <c r="B17" s="4" t="s">
        <v>265</v>
      </c>
      <c r="C17" s="4" t="s">
        <v>428</v>
      </c>
      <c r="D17" s="4" t="s">
        <v>429</v>
      </c>
      <c r="E17" s="4" t="s">
        <v>392</v>
      </c>
      <c r="F17" s="4" t="s">
        <v>393</v>
      </c>
      <c r="G17" s="6">
        <v>45666</v>
      </c>
      <c r="H17" s="4" t="s">
        <v>401</v>
      </c>
    </row>
    <row r="18" spans="1:8" ht="16.05" customHeight="1">
      <c r="A18" s="4" t="s">
        <v>431</v>
      </c>
      <c r="B18" s="4" t="s">
        <v>253</v>
      </c>
      <c r="C18" s="4" t="s">
        <v>432</v>
      </c>
      <c r="D18" s="4" t="s">
        <v>433</v>
      </c>
      <c r="E18" s="4" t="s">
        <v>417</v>
      </c>
      <c r="F18" s="4" t="s">
        <v>393</v>
      </c>
      <c r="G18" s="6">
        <v>45666</v>
      </c>
      <c r="H18" s="4" t="s">
        <v>401</v>
      </c>
    </row>
    <row r="19" spans="1:8" ht="16.05" customHeight="1">
      <c r="A19" s="4" t="s">
        <v>434</v>
      </c>
      <c r="B19" s="4" t="s">
        <v>125</v>
      </c>
      <c r="C19" s="4" t="s">
        <v>435</v>
      </c>
      <c r="D19" s="4" t="s">
        <v>436</v>
      </c>
      <c r="E19" s="4" t="s">
        <v>417</v>
      </c>
      <c r="F19" s="4" t="s">
        <v>437</v>
      </c>
      <c r="G19" s="6">
        <v>45667</v>
      </c>
      <c r="H19" s="4" t="s">
        <v>401</v>
      </c>
    </row>
    <row r="20" spans="1:8" ht="16.05" customHeight="1">
      <c r="A20" s="4" t="s">
        <v>438</v>
      </c>
      <c r="B20" s="4" t="s">
        <v>131</v>
      </c>
      <c r="C20" s="4" t="s">
        <v>435</v>
      </c>
      <c r="D20" s="4" t="s">
        <v>436</v>
      </c>
      <c r="E20" s="4" t="s">
        <v>417</v>
      </c>
      <c r="F20" s="4" t="s">
        <v>437</v>
      </c>
      <c r="G20" s="6">
        <v>45667</v>
      </c>
      <c r="H20" s="4" t="s">
        <v>401</v>
      </c>
    </row>
    <row r="21" spans="1:8" ht="16.05" customHeight="1">
      <c r="A21" s="4" t="s">
        <v>439</v>
      </c>
      <c r="B21" s="4" t="s">
        <v>142</v>
      </c>
      <c r="C21" s="4" t="s">
        <v>440</v>
      </c>
      <c r="D21" s="4" t="s">
        <v>441</v>
      </c>
      <c r="E21" s="4" t="s">
        <v>417</v>
      </c>
      <c r="F21" s="4" t="s">
        <v>437</v>
      </c>
      <c r="G21" s="6">
        <v>45667</v>
      </c>
      <c r="H21" s="4" t="s">
        <v>401</v>
      </c>
    </row>
    <row r="22" spans="1:8" ht="16.05" customHeight="1">
      <c r="A22" s="4" t="s">
        <v>442</v>
      </c>
      <c r="B22" s="4" t="s">
        <v>149</v>
      </c>
      <c r="C22" s="4" t="s">
        <v>435</v>
      </c>
      <c r="D22" s="4" t="s">
        <v>443</v>
      </c>
      <c r="E22" s="4" t="s">
        <v>417</v>
      </c>
      <c r="F22" s="4" t="s">
        <v>393</v>
      </c>
      <c r="G22" s="6">
        <v>45667</v>
      </c>
      <c r="H22" s="4" t="s">
        <v>401</v>
      </c>
    </row>
    <row r="23" spans="1:8" ht="16.05" customHeight="1">
      <c r="A23" s="4" t="s">
        <v>444</v>
      </c>
      <c r="B23" s="4" t="s">
        <v>152</v>
      </c>
      <c r="C23" s="4" t="s">
        <v>445</v>
      </c>
      <c r="D23" s="4" t="s">
        <v>446</v>
      </c>
      <c r="E23" s="4" t="s">
        <v>392</v>
      </c>
      <c r="F23" s="4" t="s">
        <v>393</v>
      </c>
      <c r="G23" s="6">
        <v>45668</v>
      </c>
      <c r="H23" s="4" t="s">
        <v>401</v>
      </c>
    </row>
    <row r="24" spans="1:8" ht="16.05" customHeight="1">
      <c r="A24" s="4" t="s">
        <v>447</v>
      </c>
      <c r="B24" s="4" t="s">
        <v>172</v>
      </c>
      <c r="C24" s="4" t="s">
        <v>445</v>
      </c>
      <c r="D24" s="4" t="s">
        <v>448</v>
      </c>
      <c r="E24" s="4" t="s">
        <v>392</v>
      </c>
      <c r="F24" s="4" t="s">
        <v>393</v>
      </c>
      <c r="G24" s="6">
        <v>45668</v>
      </c>
      <c r="H24" s="4" t="s">
        <v>401</v>
      </c>
    </row>
    <row r="25" spans="1:8" ht="16.05" customHeight="1">
      <c r="A25" s="4" t="s">
        <v>449</v>
      </c>
      <c r="B25" s="4" t="s">
        <v>176</v>
      </c>
      <c r="C25" s="4" t="s">
        <v>445</v>
      </c>
      <c r="D25" s="4" t="s">
        <v>448</v>
      </c>
      <c r="E25" s="4" t="s">
        <v>392</v>
      </c>
      <c r="F25" s="4" t="s">
        <v>397</v>
      </c>
      <c r="G25" s="6">
        <v>45668</v>
      </c>
      <c r="H25" s="4" t="s">
        <v>401</v>
      </c>
    </row>
    <row r="26" spans="1:8" ht="16.05" customHeight="1">
      <c r="A26" s="4" t="s">
        <v>450</v>
      </c>
      <c r="B26" s="4" t="s">
        <v>186</v>
      </c>
      <c r="C26" s="4" t="s">
        <v>435</v>
      </c>
      <c r="D26" s="4" t="s">
        <v>451</v>
      </c>
      <c r="E26" s="4" t="s">
        <v>417</v>
      </c>
      <c r="F26" s="4" t="s">
        <v>393</v>
      </c>
      <c r="G26" s="6">
        <v>45668</v>
      </c>
      <c r="H26" s="4" t="s">
        <v>401</v>
      </c>
    </row>
    <row r="27" spans="1:8" ht="16.05" customHeight="1">
      <c r="A27" s="4" t="s">
        <v>452</v>
      </c>
      <c r="B27" s="4" t="s">
        <v>190</v>
      </c>
      <c r="C27" s="4" t="s">
        <v>435</v>
      </c>
      <c r="D27" s="4" t="s">
        <v>451</v>
      </c>
      <c r="E27" s="4" t="s">
        <v>417</v>
      </c>
      <c r="F27" s="4" t="s">
        <v>393</v>
      </c>
      <c r="G27" s="6">
        <v>45668</v>
      </c>
      <c r="H27" s="4" t="s">
        <v>401</v>
      </c>
    </row>
    <row r="28" spans="1:8" ht="16.05" customHeight="1">
      <c r="A28" s="4" t="s">
        <v>453</v>
      </c>
      <c r="B28" s="4" t="s">
        <v>214</v>
      </c>
      <c r="C28" s="4" t="s">
        <v>454</v>
      </c>
      <c r="D28" s="4" t="s">
        <v>455</v>
      </c>
      <c r="E28" s="4" t="s">
        <v>417</v>
      </c>
      <c r="F28" s="4" t="s">
        <v>393</v>
      </c>
      <c r="G28" s="6">
        <v>45669</v>
      </c>
      <c r="H28" s="4" t="s">
        <v>401</v>
      </c>
    </row>
    <row r="29" spans="1:8" ht="16.05" customHeight="1">
      <c r="A29" s="4" t="s">
        <v>456</v>
      </c>
      <c r="B29" s="4" t="s">
        <v>219</v>
      </c>
      <c r="C29" s="4" t="s">
        <v>454</v>
      </c>
      <c r="D29" s="4" t="s">
        <v>455</v>
      </c>
      <c r="E29" s="4" t="s">
        <v>417</v>
      </c>
      <c r="F29" s="4" t="s">
        <v>393</v>
      </c>
      <c r="G29" s="6">
        <v>45669</v>
      </c>
      <c r="H29" s="4" t="s">
        <v>401</v>
      </c>
    </row>
    <row r="30" spans="1:8" ht="16.05" customHeight="1">
      <c r="A30" s="4" t="s">
        <v>457</v>
      </c>
      <c r="B30" s="4" t="s">
        <v>222</v>
      </c>
      <c r="C30" s="4" t="s">
        <v>454</v>
      </c>
      <c r="D30" s="4" t="s">
        <v>455</v>
      </c>
      <c r="E30" s="4" t="s">
        <v>417</v>
      </c>
      <c r="F30" s="4" t="s">
        <v>397</v>
      </c>
      <c r="G30" s="6">
        <v>45669</v>
      </c>
      <c r="H30" s="4" t="s">
        <v>401</v>
      </c>
    </row>
    <row r="31" spans="1:8" ht="16.05" customHeight="1">
      <c r="A31" s="4" t="s">
        <v>458</v>
      </c>
      <c r="B31" s="4" t="s">
        <v>225</v>
      </c>
      <c r="C31" s="4" t="s">
        <v>454</v>
      </c>
      <c r="D31" s="4" t="s">
        <v>455</v>
      </c>
      <c r="E31" s="4" t="s">
        <v>417</v>
      </c>
      <c r="F31" s="4" t="s">
        <v>393</v>
      </c>
      <c r="G31" s="6">
        <v>45669</v>
      </c>
      <c r="H31" s="4" t="s">
        <v>401</v>
      </c>
    </row>
    <row r="32" spans="1:8" ht="16.05" customHeight="1">
      <c r="A32" s="4" t="s">
        <v>459</v>
      </c>
      <c r="B32" s="4" t="s">
        <v>268</v>
      </c>
      <c r="C32" s="4" t="s">
        <v>390</v>
      </c>
      <c r="D32" s="4" t="s">
        <v>460</v>
      </c>
      <c r="E32" s="4" t="s">
        <v>422</v>
      </c>
      <c r="F32" s="4" t="s">
        <v>393</v>
      </c>
      <c r="G32" s="6">
        <v>45670</v>
      </c>
      <c r="H32" s="4" t="s">
        <v>401</v>
      </c>
    </row>
    <row r="33" spans="1:8" ht="16.05" customHeight="1">
      <c r="A33" s="4" t="s">
        <v>461</v>
      </c>
      <c r="B33" s="4" t="s">
        <v>273</v>
      </c>
      <c r="C33" s="4" t="s">
        <v>390</v>
      </c>
      <c r="D33" s="4" t="s">
        <v>460</v>
      </c>
      <c r="E33" s="4" t="s">
        <v>422</v>
      </c>
      <c r="F33" s="4" t="s">
        <v>393</v>
      </c>
      <c r="G33" s="6">
        <v>45670</v>
      </c>
      <c r="H33" s="4" t="s">
        <v>401</v>
      </c>
    </row>
    <row r="34" spans="1:8" ht="16.05" customHeight="1">
      <c r="A34" s="4" t="s">
        <v>462</v>
      </c>
      <c r="B34" s="4" t="s">
        <v>276</v>
      </c>
      <c r="C34" s="4" t="s">
        <v>390</v>
      </c>
      <c r="D34" s="4" t="s">
        <v>463</v>
      </c>
      <c r="E34" s="4" t="s">
        <v>422</v>
      </c>
      <c r="F34" s="4" t="s">
        <v>393</v>
      </c>
      <c r="G34" s="6">
        <v>45670</v>
      </c>
      <c r="H34" s="4" t="s">
        <v>401</v>
      </c>
    </row>
    <row r="35" spans="1:8" ht="16.05" customHeight="1">
      <c r="A35" s="4" t="s">
        <v>464</v>
      </c>
      <c r="B35" s="4" t="s">
        <v>287</v>
      </c>
      <c r="C35" s="4" t="s">
        <v>390</v>
      </c>
      <c r="D35" s="4" t="s">
        <v>463</v>
      </c>
      <c r="E35" s="4" t="s">
        <v>422</v>
      </c>
      <c r="F35" s="4" t="s">
        <v>437</v>
      </c>
      <c r="G35" s="6">
        <v>45670</v>
      </c>
      <c r="H35" s="4" t="s">
        <v>401</v>
      </c>
    </row>
    <row r="36" spans="1:8" ht="16.05" customHeight="1">
      <c r="A36" s="4" t="s">
        <v>465</v>
      </c>
      <c r="B36" s="4" t="s">
        <v>293</v>
      </c>
      <c r="C36" s="4" t="s">
        <v>466</v>
      </c>
      <c r="D36" s="4" t="s">
        <v>467</v>
      </c>
      <c r="E36" s="4" t="s">
        <v>417</v>
      </c>
      <c r="F36" s="4" t="s">
        <v>393</v>
      </c>
      <c r="G36" s="6">
        <v>45671</v>
      </c>
      <c r="H36" s="4" t="s">
        <v>401</v>
      </c>
    </row>
    <row r="37" spans="1:8" ht="16.05" customHeight="1">
      <c r="A37" s="4" t="s">
        <v>468</v>
      </c>
      <c r="B37" s="4" t="s">
        <v>52</v>
      </c>
      <c r="C37" s="4" t="s">
        <v>469</v>
      </c>
      <c r="D37" s="4" t="s">
        <v>470</v>
      </c>
      <c r="E37" s="4" t="s">
        <v>392</v>
      </c>
      <c r="F37" s="4" t="s">
        <v>397</v>
      </c>
      <c r="G37" s="6">
        <v>45671</v>
      </c>
      <c r="H37" s="4" t="s">
        <v>401</v>
      </c>
    </row>
    <row r="38" spans="1:8" ht="16.05" customHeight="1">
      <c r="A38" s="4" t="s">
        <v>471</v>
      </c>
      <c r="B38" s="4" t="s">
        <v>56</v>
      </c>
      <c r="C38" s="4" t="s">
        <v>472</v>
      </c>
      <c r="D38" s="4" t="s">
        <v>473</v>
      </c>
      <c r="E38" s="4" t="s">
        <v>392</v>
      </c>
      <c r="F38" s="4" t="s">
        <v>437</v>
      </c>
      <c r="G38" s="6">
        <v>45671</v>
      </c>
      <c r="H38" s="4" t="s">
        <v>401</v>
      </c>
    </row>
    <row r="39" spans="1:8" ht="16.05" customHeight="1">
      <c r="A39" s="4" t="s">
        <v>474</v>
      </c>
      <c r="B39" s="4" t="s">
        <v>60</v>
      </c>
      <c r="C39" s="4" t="s">
        <v>475</v>
      </c>
      <c r="D39" s="4" t="s">
        <v>476</v>
      </c>
      <c r="E39" s="4" t="s">
        <v>408</v>
      </c>
      <c r="F39" s="4" t="s">
        <v>393</v>
      </c>
      <c r="G39" s="6">
        <v>45672</v>
      </c>
      <c r="H39" s="4" t="s">
        <v>401</v>
      </c>
    </row>
    <row r="40" spans="1:8" ht="16.05" customHeight="1">
      <c r="A40" s="4" t="s">
        <v>477</v>
      </c>
      <c r="B40" s="4" t="s">
        <v>63</v>
      </c>
      <c r="C40" s="4" t="s">
        <v>475</v>
      </c>
      <c r="D40" s="4" t="s">
        <v>476</v>
      </c>
      <c r="E40" s="4" t="s">
        <v>408</v>
      </c>
      <c r="F40" s="4" t="s">
        <v>393</v>
      </c>
      <c r="G40" s="6">
        <v>45672</v>
      </c>
      <c r="H40" s="4" t="s">
        <v>401</v>
      </c>
    </row>
    <row r="41" spans="1:8" ht="16.05" customHeight="1">
      <c r="A41" s="4" t="s">
        <v>478</v>
      </c>
      <c r="B41" s="4" t="s">
        <v>66</v>
      </c>
      <c r="C41" s="4" t="s">
        <v>479</v>
      </c>
      <c r="D41" s="4" t="s">
        <v>480</v>
      </c>
      <c r="E41" s="4" t="s">
        <v>392</v>
      </c>
      <c r="F41" s="4" t="s">
        <v>397</v>
      </c>
      <c r="G41" s="6">
        <v>45672</v>
      </c>
      <c r="H41" s="4" t="s">
        <v>401</v>
      </c>
    </row>
    <row r="42" spans="1:8" ht="16.05" customHeight="1">
      <c r="A42" s="4" t="s">
        <v>481</v>
      </c>
      <c r="B42" s="4" t="s">
        <v>78</v>
      </c>
      <c r="C42" s="4" t="s">
        <v>482</v>
      </c>
      <c r="D42" s="4" t="s">
        <v>483</v>
      </c>
      <c r="E42" s="4" t="s">
        <v>417</v>
      </c>
      <c r="F42" s="4" t="s">
        <v>393</v>
      </c>
      <c r="G42" s="6">
        <v>45673</v>
      </c>
      <c r="H42" s="4" t="s">
        <v>401</v>
      </c>
    </row>
    <row r="43" spans="1:8" ht="16.05" customHeight="1">
      <c r="A43" s="4" t="s">
        <v>484</v>
      </c>
      <c r="B43" s="4" t="s">
        <v>84</v>
      </c>
      <c r="C43" s="4" t="s">
        <v>485</v>
      </c>
      <c r="D43" s="4" t="s">
        <v>486</v>
      </c>
      <c r="E43" s="4" t="s">
        <v>408</v>
      </c>
      <c r="F43" s="4" t="s">
        <v>393</v>
      </c>
      <c r="G43" s="6">
        <v>45673</v>
      </c>
      <c r="H43" s="4" t="s">
        <v>401</v>
      </c>
    </row>
    <row r="44" spans="1:8" ht="16.05" customHeight="1">
      <c r="A44" s="4" t="s">
        <v>487</v>
      </c>
      <c r="B44" s="4" t="s">
        <v>89</v>
      </c>
      <c r="C44" s="4" t="s">
        <v>488</v>
      </c>
      <c r="D44" s="4" t="s">
        <v>489</v>
      </c>
      <c r="E44" s="4" t="s">
        <v>392</v>
      </c>
      <c r="F44" s="4" t="s">
        <v>393</v>
      </c>
      <c r="G44" s="6">
        <v>45673</v>
      </c>
      <c r="H44" s="4" t="s">
        <v>401</v>
      </c>
    </row>
    <row r="45" spans="1:8" ht="16.05" customHeight="1">
      <c r="A45" s="4" t="s">
        <v>490</v>
      </c>
      <c r="B45" s="4" t="s">
        <v>321</v>
      </c>
      <c r="C45" s="4" t="s">
        <v>491</v>
      </c>
      <c r="D45" s="4" t="s">
        <v>492</v>
      </c>
      <c r="E45" s="4" t="s">
        <v>417</v>
      </c>
      <c r="F45" s="4" t="s">
        <v>437</v>
      </c>
      <c r="G45" s="6">
        <v>45674</v>
      </c>
      <c r="H45" s="4" t="s">
        <v>401</v>
      </c>
    </row>
    <row r="46" spans="1:8" ht="16.05" customHeight="1">
      <c r="A46" s="4" t="s">
        <v>493</v>
      </c>
      <c r="B46" s="4" t="s">
        <v>325</v>
      </c>
      <c r="C46" s="4" t="s">
        <v>491</v>
      </c>
      <c r="D46" s="4" t="s">
        <v>492</v>
      </c>
      <c r="E46" s="4" t="s">
        <v>417</v>
      </c>
      <c r="F46" s="4" t="s">
        <v>437</v>
      </c>
      <c r="G46" s="6">
        <v>45674</v>
      </c>
      <c r="H46" s="4" t="s">
        <v>401</v>
      </c>
    </row>
    <row r="47" spans="1:8" ht="16.05" customHeight="1">
      <c r="A47" s="4" t="s">
        <v>494</v>
      </c>
      <c r="B47" s="4" t="s">
        <v>328</v>
      </c>
      <c r="C47" s="4" t="s">
        <v>435</v>
      </c>
      <c r="D47" s="4" t="s">
        <v>495</v>
      </c>
      <c r="E47" s="4" t="s">
        <v>417</v>
      </c>
      <c r="F47" s="4" t="s">
        <v>393</v>
      </c>
      <c r="G47" s="6">
        <v>45674</v>
      </c>
      <c r="H47" s="4" t="s">
        <v>401</v>
      </c>
    </row>
    <row r="48" spans="1:8" ht="16.05" customHeight="1">
      <c r="A48" s="4" t="s">
        <v>496</v>
      </c>
      <c r="B48" s="4" t="s">
        <v>332</v>
      </c>
      <c r="C48" s="4" t="s">
        <v>435</v>
      </c>
      <c r="D48" s="4" t="s">
        <v>495</v>
      </c>
      <c r="E48" s="4" t="s">
        <v>417</v>
      </c>
      <c r="F48" s="4" t="s">
        <v>393</v>
      </c>
      <c r="G48" s="6">
        <v>45674</v>
      </c>
      <c r="H48" s="4" t="s">
        <v>401</v>
      </c>
    </row>
    <row r="49" spans="1:8" ht="16.05" customHeight="1">
      <c r="A49" s="4" t="s">
        <v>497</v>
      </c>
      <c r="B49" s="4" t="s">
        <v>335</v>
      </c>
      <c r="C49" s="4" t="s">
        <v>445</v>
      </c>
      <c r="D49" s="4" t="s">
        <v>498</v>
      </c>
      <c r="E49" s="4" t="s">
        <v>392</v>
      </c>
      <c r="F49" s="4" t="s">
        <v>393</v>
      </c>
      <c r="G49" s="6">
        <v>45675</v>
      </c>
      <c r="H49" s="4" t="s">
        <v>401</v>
      </c>
    </row>
    <row r="50" spans="1:8" ht="16.05" customHeight="1">
      <c r="A50" s="4" t="s">
        <v>499</v>
      </c>
      <c r="B50" s="4" t="s">
        <v>339</v>
      </c>
      <c r="C50" s="4" t="s">
        <v>445</v>
      </c>
      <c r="D50" s="4" t="s">
        <v>498</v>
      </c>
      <c r="E50" s="4" t="s">
        <v>392</v>
      </c>
      <c r="F50" s="4" t="s">
        <v>393</v>
      </c>
      <c r="G50" s="6">
        <v>45675</v>
      </c>
      <c r="H50" s="4" t="s">
        <v>401</v>
      </c>
    </row>
    <row r="51" spans="1:8" ht="16.05" customHeight="1">
      <c r="A51" s="4" t="s">
        <v>500</v>
      </c>
      <c r="B51" s="4" t="s">
        <v>25</v>
      </c>
      <c r="C51" s="4" t="s">
        <v>501</v>
      </c>
      <c r="D51" s="4" t="s">
        <v>502</v>
      </c>
      <c r="E51" s="4" t="s">
        <v>408</v>
      </c>
      <c r="F51" s="4" t="s">
        <v>397</v>
      </c>
      <c r="G51" s="6">
        <v>45675</v>
      </c>
      <c r="H51" s="4" t="s">
        <v>401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F39CD-5B24-4DBC-BB9B-043EDA3F8DDC}">
  <dimension ref="A1:E10"/>
  <sheetViews>
    <sheetView zoomScaleNormal="100" workbookViewId="0">
      <selection activeCell="I13" sqref="I13"/>
    </sheetView>
  </sheetViews>
  <sheetFormatPr defaultRowHeight="14.4"/>
  <cols>
    <col min="1" max="1" width="19.6640625" customWidth="1"/>
    <col min="2" max="2" width="8.88671875" customWidth="1"/>
    <col min="3" max="3" width="11.5546875" customWidth="1"/>
  </cols>
  <sheetData>
    <row r="1" spans="1:5">
      <c r="A1" s="1" t="s">
        <v>514</v>
      </c>
      <c r="B1" s="1"/>
      <c r="C1" s="1"/>
      <c r="D1" s="1" t="s">
        <v>503</v>
      </c>
      <c r="E1" s="1"/>
    </row>
    <row r="2" spans="1:5">
      <c r="A2" s="5" t="s">
        <v>512</v>
      </c>
      <c r="B2" s="5" t="s">
        <v>513</v>
      </c>
    </row>
    <row r="3" spans="1:5">
      <c r="A3" s="4" t="s">
        <v>504</v>
      </c>
      <c r="B3" s="7">
        <f>COUNTA(Vulnerabilidades!A2:A1000)</f>
        <v>50</v>
      </c>
    </row>
    <row r="4" spans="1:5">
      <c r="A4" s="4" t="s">
        <v>505</v>
      </c>
      <c r="B4" s="8">
        <f>COUNTIF(Vulnerabilidades!E2:E1000,"Crítico")</f>
        <v>8</v>
      </c>
    </row>
    <row r="5" spans="1:5">
      <c r="A5" s="4" t="s">
        <v>506</v>
      </c>
      <c r="B5" s="8">
        <f>COUNTIF(Vulnerabilidades!E2:E1000,"Alto")</f>
        <v>18</v>
      </c>
    </row>
    <row r="6" spans="1:5">
      <c r="A6" s="4" t="s">
        <v>507</v>
      </c>
      <c r="B6" s="8">
        <f>COUNTIF(Vulnerabilidades!E2:E1000,"Medio")</f>
        <v>19</v>
      </c>
    </row>
    <row r="7" spans="1:5">
      <c r="A7" s="4" t="s">
        <v>508</v>
      </c>
      <c r="B7" s="8">
        <f>COUNTIF(Vulnerabilidades!E2:E1000,"Bajo")</f>
        <v>5</v>
      </c>
    </row>
    <row r="8" spans="1:5">
      <c r="A8" s="4" t="s">
        <v>509</v>
      </c>
      <c r="B8" s="8">
        <f>COUNTIF(Vulnerabilidades!F2:F1000,"Resuelto")</f>
        <v>7</v>
      </c>
    </row>
    <row r="9" spans="1:5">
      <c r="A9" s="4" t="s">
        <v>510</v>
      </c>
      <c r="B9" s="8">
        <f>COUNTIF(Vulnerabilidades!F2:F1000,"Pendiente")</f>
        <v>36</v>
      </c>
    </row>
    <row r="10" spans="1:5">
      <c r="A10" s="4" t="s">
        <v>397</v>
      </c>
      <c r="B10" s="8">
        <f>COUNTIF(Vulnerabilidades!F2:F1000,"En Proceso")</f>
        <v>7</v>
      </c>
    </row>
  </sheetData>
  <mergeCells count="2">
    <mergeCell ref="A1:C1"/>
    <mergeCell ref="D1: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B8C1D-560C-495E-9DD5-E309317A8511}">
  <dimension ref="A1:D2"/>
  <sheetViews>
    <sheetView workbookViewId="0">
      <selection activeCell="Q27" sqref="Q27"/>
    </sheetView>
  </sheetViews>
  <sheetFormatPr defaultRowHeight="14.4"/>
  <cols>
    <col min="1" max="1" width="8.88671875" customWidth="1"/>
    <col min="4" max="4" width="15.88671875" customWidth="1"/>
  </cols>
  <sheetData>
    <row r="1" spans="1:4" ht="24" customHeight="1">
      <c r="A1" s="3" t="s">
        <v>511</v>
      </c>
      <c r="B1" s="2"/>
      <c r="C1" s="2"/>
      <c r="D1" s="2"/>
    </row>
    <row r="2" spans="1:4" ht="14.4" customHeight="1">
      <c r="A2" s="2"/>
      <c r="B2" s="2"/>
      <c r="C2" s="2"/>
      <c r="D2" s="2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B20F44-E63C-4CEC-8AEF-41BFBE480B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Inventario</vt:lpstr>
      <vt:lpstr>Vulnerabilidades</vt:lpstr>
      <vt:lpstr>Resumen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Martinez</dc:creator>
  <cp:lastModifiedBy>Paula Martinez</cp:lastModifiedBy>
  <dcterms:created xsi:type="dcterms:W3CDTF">2026-03-22T07:21:41Z</dcterms:created>
  <dcterms:modified xsi:type="dcterms:W3CDTF">2026-03-22T21:53:56Z</dcterms:modified>
</cp:coreProperties>
</file>